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2ab5f40fd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期总览" sheetId="1" r:id="R6acfdac15d984933"/>
    <x:sheet xmlns:r="http://schemas.openxmlformats.org/officeDocument/2006/relationships" name="功能清单" sheetId="2" r:id="R61697a3d0a934759"/>
    <x:sheet xmlns:r="http://schemas.openxmlformats.org/officeDocument/2006/relationships" name="AI写作流程" sheetId="3" r:id="R211581d251cd42bc"/>
    <x:sheet xmlns:r="http://schemas.openxmlformats.org/officeDocument/2006/relationships" name="接口清单" sheetId="4" r:id="Reedb42e1f54247e6"/>
    <x:sheet xmlns:r="http://schemas.openxmlformats.org/officeDocument/2006/relationships" name="验收场景" sheetId="5" r:id="R6f9365536acc46f2"/>
    <x:sheet xmlns:r="http://schemas.openxmlformats.org/officeDocument/2006/relationships" name="分期Prompt" sheetId="6" r:id="Rd53317ac38f64baa"/>
    <x:sheet xmlns:r="http://schemas.openxmlformats.org/officeDocument/2006/relationships" name="来源与说明" sheetId="7" r:id="Rd0cb8aae607d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6">
    <x:font>
      <x:sz val="11"/>
      <x:name val="Carlito"/>
    </x:font>
    <x:font>
      <x:sz val="11"/>
      <x:color rgb="FF172B3B"/>
      <x:name val="Helvetica Neue"/>
    </x:font>
    <x:font>
      <x:b/>
      <x:sz val="18"/>
      <x:color rgb="FF14283A"/>
      <x:name val="Helvetica Neue"/>
    </x:font>
    <x:font>
      <x:i/>
      <x:sz val="10"/>
      <x:color rgb="FF52677A"/>
      <x:name val="Helvetica Neue"/>
    </x:font>
    <x:font>
      <x:b/>
      <x:sz val="11"/>
      <x:color rgb="FFFFFFFF"/>
      <x:name val="Helvetica Neue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374D"/>
      </x:patternFill>
    </x:fill>
    <x:fill>
      <x:patternFill patternType="solid">
        <x:fgColor rgb="FFF1F5F8"/>
      </x:patternFill>
    </x:fill>
    <x:fill>
      <x:patternFill patternType="solid">
        <x:fgColor rgb="FFFFF8D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1583C"/>
      </x:font>
      <x:fill>
        <x:patternFill>
          <x:bgColor rgb="FFDFF0E5"/>
        </x:patternFill>
      </x:fill>
    </x:dxf>
    <x:dxf>
      <x:font>
        <x:color rgb="FF9B3024"/>
      </x:font>
      <x:fill>
        <x:patternFill>
          <x:bgColor rgb="FFF8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5cfe3f2344ef0" /><Relationship Type="http://schemas.openxmlformats.org/officeDocument/2006/relationships/theme" Target="/xl/theme/theme1.xml" Id="Rd32c5d7505014329" /><Relationship Type="http://schemas.openxmlformats.org/officeDocument/2006/relationships/sharedStrings" Target="/xl/sharedStrings.xml" Id="R8ffe8b4a960b44b9" /><Relationship Type="http://schemas.openxmlformats.org/officeDocument/2006/relationships/worksheet" Target="/xl/worksheets/sheet1.xml" Id="R6acfdac15d984933" /><Relationship Type="http://schemas.openxmlformats.org/officeDocument/2006/relationships/worksheet" Target="/xl/worksheets/sheet2.xml" Id="R61697a3d0a934759" /><Relationship Type="http://schemas.openxmlformats.org/officeDocument/2006/relationships/worksheet" Target="/xl/worksheets/sheet3.xml" Id="R211581d251cd42bc" /><Relationship Type="http://schemas.openxmlformats.org/officeDocument/2006/relationships/worksheet" Target="/xl/worksheets/sheet4.xml" Id="Reedb42e1f54247e6" /><Relationship Type="http://schemas.openxmlformats.org/officeDocument/2006/relationships/worksheet" Target="/xl/worksheets/sheet5.xml" Id="R6f9365536acc46f2" /><Relationship Type="http://schemas.openxmlformats.org/officeDocument/2006/relationships/worksheet" Target="/xl/worksheets/sheet6.xml" Id="Rd53317ac38f64baa" /><Relationship Type="http://schemas.openxmlformats.org/officeDocument/2006/relationships/worksheet" Target="/xl/worksheets/sheet7.xml" Id="Rd0cb8aae607d4d00" /></Relationships>
</file>

<file path=xl/tables/table1.xml><?xml version="1.0" encoding="utf-8"?>
<x:table xmlns:x="http://schemas.openxmlformats.org/spreadsheetml/2006/main" id="2" name="Phases" displayName="Phases" ref="A4:H9" headerRowCount="1" totalsRowCount="0" totalsRowShown="0">
  <x:autoFilter ref="A4:H9"/>
  <x:tableColumns count="8">
    <x:tableColumn id="1" name="期次"/>
    <x:tableColumn id="2" name="本期目标"/>
    <x:tableColumn id="3" name="功能数"/>
    <x:tableColumn id="4" name="已完成"/>
    <x:tableColumn id="5" name="完成率"/>
    <x:tableColumn id="6" name="真实验证数"/>
    <x:tableColumn id="7" name="入口依赖"/>
    <x:tableColumn id="8" name="完成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eatures" displayName="Features" ref="A4:L71" headerRowCount="1" totalsRowCount="0" totalsRowShown="0">
  <x:autoFilter ref="A4:L71"/>
  <x:tableColumns count="12">
    <x:tableColumn id="1" name="需求ID"/>
    <x:tableColumn id="2" name="期次"/>
    <x:tableColumn id="3" name="模块"/>
    <x:tableColumn id="4" name="功能"/>
    <x:tableColumn id="5" name="行为与边界"/>
    <x:tableColumn id="6" name="验收标准"/>
    <x:tableColumn id="7" name="依赖"/>
    <x:tableColumn id="8" name="优先级"/>
    <x:tableColumn id="9" name="实施状态"/>
    <x:tableColumn id="10" name="验证级别"/>
    <x:tableColumn id="11" name="验证证据"/>
    <x:tableColumn id="12" name="Promp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itingFlow" displayName="WritingFlow" ref="A4:F16" headerRowCount="1" totalsRowCount="0" totalsRowShown="0">
  <x:autoFilter ref="A4:F16"/>
  <x:tableColumns count="6">
    <x:tableColumn id="1" name="步骤ID"/>
    <x:tableColumn id="2" name="交互"/>
    <x:tableColumn id="3" name="输入"/>
    <x:tableColumn id="4" name="动作与规则"/>
    <x:tableColumn id="5" name="输出"/>
    <x:tableColumn id="6" name="需求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faces" displayName="Interfaces" ref="A4:G19" headerRowCount="1" totalsRowCount="0" totalsRowShown="0">
  <x:autoFilter ref="A4:G19"/>
  <x:tableColumns count="7">
    <x:tableColumn id="1" name="接口ID"/>
    <x:tableColumn id="2" name="接口或契约"/>
    <x:tableColumn id="3" name="期次"/>
    <x:tableColumn id="4" name="输入"/>
    <x:tableColumn id="5" name="输出"/>
    <x:tableColumn id="6" name="关键约束"/>
    <x:tableColumn id="7" name="需求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" displayName="Acceptance" ref="A4:F26" headerRowCount="1" totalsRowCount="0" totalsRowShown="0">
  <x:autoFilter ref="A4:F26"/>
  <x:tableColumns count="6">
    <x:tableColumn id="1" name="测试ID"/>
    <x:tableColumn id="2" name="期次"/>
    <x:tableColumn id="3" name="需求ID"/>
    <x:tableColumn id="4" name="场景"/>
    <x:tableColumn id="5" name="预期结果"/>
    <x:tableColumn id="6" name="建议验证证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mpts" displayName="Prompts" ref="A4:D42" headerRowCount="1" totalsRowCount="0" totalsRowShown="0">
  <x:autoFilter ref="A4:D42"/>
  <x:tableColumns count="4">
    <x:tableColumn id="1" name="期次"/>
    <x:tableColumn id="2" name="文件"/>
    <x:tableColumn id="3" name="段落"/>
    <x:tableColumn id="4" name="Prompt正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" displayName="Sources" ref="A4:D15" headerRowCount="1" totalsRowCount="0" totalsRowShown="0">
  <x:autoFilter ref="A4:D15"/>
  <x:tableColumns count="4">
    <x:tableColumn id="1" name="ID"/>
    <x:tableColumn id="2" name="来源"/>
    <x:tableColumn id="3" name="地址或位置"/>
    <x:tableColumn id="4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fec25b0f447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1fd1f626f6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dfaf9e49894c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ad987555c2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4c63c4ff434e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d415a02c0f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ff0e54d6de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2" hidden="0" customWidth="1"/>
    <x:col min="5" max="5" width="13" hidden="0" customWidth="1"/>
    <x:col min="6" max="6" width="16" hidden="0" customWidth="1"/>
    <x:col min="7" max="7" width="43" hidden="0" customWidth="1"/>
    <x:col min="8" max="8" width="50" hidden="0" customWidth="1"/>
  </x:cols>
  <x:sheetData>
    <x:row r="1" ht="30" customHeight="1">
      <x:c r="A1" s="2" t="str">
        <x:v>四期开发与 Soon 排期总览</x:v>
      </x:c>
      <x:c r="B1" s="1"/>
      <x:c r="C1" s="1"/>
      <x:c r="D1" s="1"/>
      <x:c r="E1" s="1"/>
      <x:c r="F1" s="1"/>
      <x:c r="G1" s="1"/>
      <x:c r="H1" s="1"/>
    </x:row>
    <x:row r="2" ht="28" customHeight="1">
      <x:c r="A2" s="3" t="str">
        <x:v>范围来自本次确认；功能数量与进度由功能清单计算。无排期承诺，无自动邮件序列。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8" t="str">
        <x:v>期次</x:v>
      </x:c>
      <x:c r="B4" s="8" t="str">
        <x:v>本期目标</x:v>
      </x:c>
      <x:c r="C4" s="8" t="str">
        <x:v>功能数</x:v>
      </x:c>
      <x:c r="D4" s="8" t="str">
        <x:v>已完成</x:v>
      </x:c>
      <x:c r="E4" s="8" t="str">
        <x:v>完成率</x:v>
      </x:c>
      <x:c r="F4" s="8" t="str">
        <x:v>真实验证数</x:v>
      </x:c>
      <x:c r="G4" s="8" t="str">
        <x:v>入口依赖</x:v>
      </x:c>
      <x:c r="H4" s="8" t="str">
        <x:v>完成边界</x:v>
      </x:c>
    </x:row>
    <x:row r="5" ht="64" customHeight="1">
      <x:c r="A5" s="5" t="n">
        <x:v>1</x:v>
      </x:c>
      <x:c r="B5" s="5" t="str">
        <x:v>简历找人与 AI 写作</x:v>
      </x:c>
      <x:c r="C5" s="13" t="n">
        <x:f>COUNTIF('功能清单'!$B$5:$B$71,A5)</x:f>
        <x:v>27</x:v>
      </x:c>
      <x:c r="D5" s="13" t="n">
        <x:f>COUNTIFS('功能清单'!$B$5:$B$71,A5,'功能清单'!$I$5:$I$71,"已完成")</x:f>
        <x:v>0</x:v>
      </x:c>
      <x:c r="E5" s="15" t="n">
        <x:f>IF(C5=0,0,D5/C5)</x:f>
        <x:v>0</x:v>
      </x:c>
      <x:c r="F5" s="13" t="n">
        <x:f>COUNTIFS('功能清单'!$B$5:$B$71,A5,'功能清单'!$J$5:$J$71,"真实验证")</x:f>
        <x:v>0</x:v>
      </x:c>
      <x:c r="G5" s="5" t="str">
        <x:v>从空项目开始；外部凭据可缺省并使用显式 Mock</x:v>
      </x:c>
      <x:c r="H5" s="5" t="str">
        <x:v>画像、联系人和草稿持久化；事实有依据；无真实发信</x:v>
      </x:c>
    </x:row>
    <x:row r="6" ht="64" customHeight="1">
      <x:c r="A6" s="9" t="n">
        <x:v>2</x:v>
      </x:c>
      <x:c r="B6" s="9" t="str">
        <x:v>账户 Gmail 与单封发送</x:v>
      </x:c>
      <x:c r="C6" s="14" t="n">
        <x:f>COUNTIF('功能清单'!$B$5:$B$71,A6)</x:f>
        <x:v>12</x:v>
      </x:c>
      <x:c r="D6" s="14" t="n">
        <x:f>COUNTIFS('功能清单'!$B$5:$B$71,A6,'功能清单'!$I$5:$I$71,"已完成")</x:f>
        <x:v>0</x:v>
      </x:c>
      <x:c r="E6" s="16" t="n">
        <x:f>IF(C6=0,0,D6/C6)</x:f>
        <x:v>0</x:v>
      </x:c>
      <x:c r="F6" s="14" t="n">
        <x:f>COUNTIFS('功能清单'!$B$5:$B$71,A6,'功能清单'!$J$5:$J$71,"真实验证")</x:f>
        <x:v>0</x:v>
      </x:c>
      <x:c r="G6" s="9" t="str">
        <x:v>P1 草稿和工作区边界稳定</x:v>
      </x:c>
      <x:c r="H6" s="9" t="str">
        <x:v>两用户隔离；指定邮箱真实发信或如实标未验证；幂等/unknown 处理</x:v>
      </x:c>
    </x:row>
    <x:row r="7" ht="64" customHeight="1">
      <x:c r="A7" s="5" t="n">
        <x:v>3</x:v>
      </x:c>
      <x:c r="B7" s="5" t="str">
        <x:v>收件箱与手动跟进</x:v>
      </x:c>
      <x:c r="C7" s="13" t="n">
        <x:f>COUNTIF('功能清单'!$B$5:$B$71,A7)</x:f>
        <x:v>11</x:v>
      </x:c>
      <x:c r="D7" s="13" t="n">
        <x:f>COUNTIFS('功能清单'!$B$5:$B$71,A7,'功能清单'!$I$5:$I$71,"已完成")</x:f>
        <x:v>0</x:v>
      </x:c>
      <x:c r="E7" s="15" t="n">
        <x:f>IF(C7=0,0,D7/C7)</x:f>
        <x:v>0</x:v>
      </x:c>
      <x:c r="F7" s="13" t="n">
        <x:f>COUNTIFS('功能清单'!$B$5:$B$71,A7,'功能清单'!$J$5:$J$71,"真实验证")</x:f>
        <x:v>0</x:v>
      </x:c>
      <x:c r="G7" s="5" t="str">
        <x:v>P2 授权与发送稳定</x:v>
      </x:c>
      <x:c r="H7" s="5" t="str">
        <x:v>真实回复同步；到期只提醒；新回复暂停既有排期</x:v>
      </x:c>
    </x:row>
    <x:row r="8" ht="64" customHeight="1">
      <x:c r="A8" s="9" t="n">
        <x:v>4</x:v>
      </x:c>
      <x:c r="B8" s="9" t="str">
        <x:v>批量活动模板与统计</x:v>
      </x:c>
      <x:c r="C8" s="14" t="n">
        <x:f>COUNTIF('功能清单'!$B$5:$B$71,A8)</x:f>
        <x:v>8</x:v>
      </x:c>
      <x:c r="D8" s="14" t="n">
        <x:f>COUNTIFS('功能清单'!$B$5:$B$71,A8,'功能清单'!$I$5:$I$71,"已完成")</x:f>
        <x:v>0</x:v>
      </x:c>
      <x:c r="E8" s="16" t="n">
        <x:f>IF(C8=0,0,D8/C8)</x:f>
        <x:v>0</x:v>
      </x:c>
      <x:c r="F8" s="14" t="n">
        <x:f>COUNTIFS('功能清单'!$B$5:$B$71,A8,'功能清单'!$J$5:$J$71,"真实验证")</x:f>
        <x:v>0</x:v>
      </x:c>
      <x:c r="G8" s="9" t="str">
        <x:v>P3 同步与回复保护稳定</x:v>
      </x:c>
      <x:c r="H8" s="9" t="str">
        <x:v>逐人发送、取消生效、统计口径可核对；Academic 仅契约</x:v>
      </x:c>
    </x:row>
    <x:row r="9" ht="64" customHeight="1">
      <x:c r="A9" s="5" t="str">
        <x:v>Soon</x:v>
      </x:c>
      <x:c r="B9" s="5" t="str">
        <x:v>管理员后端</x:v>
      </x:c>
      <x:c r="C9" s="13" t="n">
        <x:f>COUNTIF('功能清单'!$B$5:$B$71,A9)</x:f>
        <x:v>9</x:v>
      </x:c>
      <x:c r="D9" s="13" t="n">
        <x:f>COUNTIFS('功能清单'!$B$5:$B$71,A9,'功能清单'!$I$5:$I$71,"已完成")</x:f>
        <x:v>0</x:v>
      </x:c>
      <x:c r="E9" s="15" t="n">
        <x:f>IF(C9=0,0,D9/C9)</x:f>
        <x:v>0</x:v>
      </x:c>
      <x:c r="F9" s="13" t="n">
        <x:f>COUNTIFS('功能清单'!$B$5:$B$71,A9,'功能清单'!$J$5:$J$71,"真实验证")</x:f>
        <x:v>0</x:v>
      </x:c>
      <x:c r="G9" s="5" t="str">
        <x:v>账户、平台角色及对应业务模块</x:v>
      </x:c>
      <x:c r="H9" s="5" t="str">
        <x:v>仅规划占位；具体期次和日期待定</x:v>
      </x:c>
    </x:row>
    <x:row r="11">
      <x:c r="A11" s="17" t="str">
        <x:v>使用顺序</x:v>
      </x:c>
    </x:row>
    <x:row r="12" ht="28" customHeight="1">
      <x:c r="A12" t="str">
        <x:v>1</x:v>
      </x:c>
      <x:c r="B12" t="str">
        <x:v>先看 HTML</x:v>
      </x:c>
      <x:c r="C12" t="str">
        <x:v>流程与架构为离线演示；所有数据虚构。</x:v>
      </x:c>
      <x:c r="D12"/>
      <x:c r="E12"/>
      <x:c r="F12"/>
      <x:c r="G12"/>
      <x:c r="H12"/>
    </x:row>
    <x:row r="13" ht="28" customHeight="1">
      <x:c r="A13" t="str">
        <x:v>2</x:v>
      </x:c>
      <x:c r="B13" t="str">
        <x:v>再看 Word</x:v>
      </x:c>
      <x:c r="C13" t="str">
        <x:v>AI写作交互、状态、数据与错误契约。</x:v>
      </x:c>
      <x:c r="D13"/>
      <x:c r="E13"/>
      <x:c r="F13"/>
      <x:c r="G13"/>
      <x:c r="H13"/>
    </x:row>
    <x:row r="14" ht="28" customHeight="1">
      <x:c r="A14" t="str">
        <x:v>3</x:v>
      </x:c>
      <x:c r="B14" t="str">
        <x:v>筛选功能清单</x:v>
      </x:c>
      <x:c r="C14" t="str">
        <x:v>按期次筛选，更新实施状态与验证证据。</x:v>
      </x:c>
      <x:c r="D14"/>
      <x:c r="E14"/>
      <x:c r="F14"/>
      <x:c r="G14"/>
      <x:c r="H14"/>
    </x:row>
    <x:row r="15" ht="28" customHeight="1">
      <x:c r="A15" t="str">
        <x:v>4</x:v>
      </x:c>
      <x:c r="B15" t="str">
        <x:v>使用分期 Prompt</x:v>
      </x:c>
      <x:c r="C15" t="str">
        <x:v>每期内容在分期Prompt页；也提供4个独立MD文件。</x:v>
      </x:c>
      <x:c r="D15"/>
      <x:c r="E15"/>
      <x:c r="F15"/>
      <x:c r="G15"/>
      <x:c r="H15"/>
    </x:row>
    <x:row r="16" ht="28" customHeight="1">
      <x:c r="A16" t="str">
        <x:v>范围</x:v>
      </x:c>
      <x:c r="B16" t="str">
        <x:v>Academic仅预留</x:v>
      </x:c>
      <x:c r="C16" t="str">
        <x:v>登录移至P2；不做自动序列、团队协作、计费或Outlook。</x:v>
      </x:c>
      <x:c r="D16"/>
      <x:c r="E16"/>
      <x:c r="F16"/>
      <x:c r="G16"/>
      <x:c r="H16"/>
    </x:row>
  </x:sheetData>
  <x:pageMargins left="0.7" right="0.7" top="0.75" bottom="0.75" header="0.3" footer="0.3"/>
  <x:tableParts count="1">
    <x:tablePart xmlns:r="http://schemas.openxmlformats.org/officeDocument/2006/relationships" r:id="R754fec25b0f447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7" hidden="0" customWidth="1"/>
    <x:col min="3" max="3" width="15" hidden="0" customWidth="1"/>
    <x:col min="4" max="4" width="23" hidden="0" customWidth="1"/>
    <x:col min="5" max="5" width="46" hidden="0" customWidth="1"/>
    <x:col min="6" max="6" width="46" hidden="0" customWidth="1"/>
    <x:col min="7" max="7" width="22" hidden="0" customWidth="1"/>
    <x:col min="8" max="8" width="11" hidden="0" customWidth="1"/>
    <x:col min="9" max="9" width="14" hidden="0" customWidth="1"/>
    <x:col min="10" max="10" width="15" hidden="0" customWidth="1"/>
    <x:col min="11" max="11" width="33" hidden="0" customWidth="1"/>
    <x:col min="12" max="12" width="10" hidden="0" customWidth="1"/>
  </x:cols>
  <x:sheetData>
    <x:row r="1" ht="30" customHeight="1">
      <x:c r="A1" s="2" t="str">
        <x:v>Connact.ai 分期功能清单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3" t="str">
        <x:v>状态为产品实施状态；当前均未开发。淡黄色列供后续更新，验证需填实际证据。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customHeight="1">
      <x:c r="A4" s="8" t="str">
        <x:v>需求ID</x:v>
      </x:c>
      <x:c r="B4" s="8" t="str">
        <x:v>期次</x:v>
      </x:c>
      <x:c r="C4" s="8" t="str">
        <x:v>模块</x:v>
      </x:c>
      <x:c r="D4" s="8" t="str">
        <x:v>功能</x:v>
      </x:c>
      <x:c r="E4" s="8" t="str">
        <x:v>行为与边界</x:v>
      </x:c>
      <x:c r="F4" s="8" t="str">
        <x:v>验收标准</x:v>
      </x:c>
      <x:c r="G4" s="8" t="str">
        <x:v>依赖</x:v>
      </x:c>
      <x:c r="H4" s="8" t="str">
        <x:v>优先级</x:v>
      </x:c>
      <x:c r="I4" s="8" t="str">
        <x:v>实施状态</x:v>
      </x:c>
      <x:c r="J4" s="8" t="str">
        <x:v>验证级别</x:v>
      </x:c>
      <x:c r="K4" s="8" t="str">
        <x:v>验证证据</x:v>
      </x:c>
      <x:c r="L4" s="8" t="str">
        <x:v>Prompt</x:v>
      </x:c>
    </x:row>
    <x:row r="5" ht="64" customHeight="1">
      <x:c r="A5" s="5" t="str">
        <x:v>P1-01</x:v>
      </x:c>
      <x:c r="B5" s="10" t="n">
        <x:v>1</x:v>
      </x:c>
      <x:c r="C5" s="5" t="str">
        <x:v>工作台</x:v>
      </x:c>
      <x:c r="D5" s="5" t="str">
        <x:v>全局布局与入口</x:v>
      </x:c>
      <x:c r="E5" s="5" t="str">
        <x:v>左导航、顶部、主区及联系人抽屉；未来页面占位</x:v>
      </x:c>
      <x:c r="F5" s="5" t="str">
        <x:v>可独立进入画像、搜索、联系人、编辑器；占位无假操作</x:v>
      </x:c>
      <x:c r="G5" s="5" t="str">
        <x:v>无</x:v>
      </x:c>
      <x:c r="H5" s="5" t="str">
        <x:v>Must</x:v>
      </x:c>
      <x:c r="I5" s="12" t="str">
        <x:v>未开始</x:v>
      </x:c>
      <x:c r="J5" s="12" t="str">
        <x:v>未验证</x:v>
      </x:c>
      <x:c r="K5" s="12" t="str"/>
      <x:c r="L5" s="5" t="str">
        <x:v>P1</x:v>
      </x:c>
    </x:row>
    <x:row r="6" ht="64" customHeight="1">
      <x:c r="A6" s="9" t="str">
        <x:v>P1-02</x:v>
      </x:c>
      <x:c r="B6" s="11" t="n">
        <x:v>1</x:v>
      </x:c>
      <x:c r="C6" s="9" t="str">
        <x:v>工作台</x:v>
      </x:c>
      <x:c r="D6" s="9" t="str">
        <x:v>中英文界面</x:v>
      </x:c>
      <x:c r="E6" s="9" t="str">
        <x:v>英文默认，核心文案及错误支持中文；邮件语言独立</x:v>
      </x:c>
      <x:c r="F6" s="9" t="str">
        <x:v>切换界面不改变用户正文；设置刷新后保留</x:v>
      </x:c>
      <x:c r="G6" s="9" t="str">
        <x:v>P1-01</x:v>
      </x:c>
      <x:c r="H6" s="9" t="str">
        <x:v>Must</x:v>
      </x:c>
      <x:c r="I6" s="12" t="str">
        <x:v>未开始</x:v>
      </x:c>
      <x:c r="J6" s="12" t="str">
        <x:v>未验证</x:v>
      </x:c>
      <x:c r="K6" s="12" t="str"/>
      <x:c r="L6" s="9" t="str">
        <x:v>P1</x:v>
      </x:c>
    </x:row>
    <x:row r="7" ht="64" customHeight="1">
      <x:c r="A7" s="5" t="str">
        <x:v>P1-03</x:v>
      </x:c>
      <x:c r="B7" s="10" t="n">
        <x:v>1</x:v>
      </x:c>
      <x:c r="C7" s="5" t="str">
        <x:v>工作台</x:v>
      </x:c>
      <x:c r="D7" s="5" t="str">
        <x:v>工作区与持久化</x:v>
      </x:c>
      <x:c r="E7" s="5" t="str">
        <x:v>本地固定 workspace；后端查询始终限定归属</x:v>
      </x:c>
      <x:c r="F7" s="5" t="str">
        <x:v>跨工作区测试无法读取另一工作区数据；开发登录仅本地启用</x:v>
      </x:c>
      <x:c r="G7" s="5" t="str">
        <x:v>无</x:v>
      </x:c>
      <x:c r="H7" s="5" t="str">
        <x:v>Must</x:v>
      </x:c>
      <x:c r="I7" s="12" t="str">
        <x:v>未开始</x:v>
      </x:c>
      <x:c r="J7" s="12" t="str">
        <x:v>未验证</x:v>
      </x:c>
      <x:c r="K7" s="12" t="str"/>
      <x:c r="L7" s="5" t="str">
        <x:v>P1</x:v>
      </x:c>
    </x:row>
    <x:row r="8" ht="64" customHeight="1">
      <x:c r="A8" s="9" t="str">
        <x:v>P1-04</x:v>
      </x:c>
      <x:c r="B8" s="11" t="n">
        <x:v>1</x:v>
      </x:c>
      <x:c r="C8" s="9" t="str">
        <x:v>工作台</x:v>
      </x:c>
      <x:c r="D8" s="9" t="str">
        <x:v>Dashboard 与 Finance</x:v>
      </x:c>
      <x:c r="E8" s="9" t="str">
        <x:v>使用真实本地数量、最近联系人和草稿</x:v>
      </x:c>
      <x:c r="F8" s="9" t="str">
        <x:v>与数据库一致；无数据时显示空状态</x:v>
      </x:c>
      <x:c r="G8" s="9" t="str">
        <x:v>P1-03</x:v>
      </x:c>
      <x:c r="H8" s="9" t="str">
        <x:v>Must</x:v>
      </x:c>
      <x:c r="I8" s="12" t="str">
        <x:v>未开始</x:v>
      </x:c>
      <x:c r="J8" s="12" t="str">
        <x:v>未验证</x:v>
      </x:c>
      <x:c r="K8" s="12" t="str"/>
      <x:c r="L8" s="9" t="str">
        <x:v>P1</x:v>
      </x:c>
    </x:row>
    <x:row r="9" ht="64" customHeight="1">
      <x:c r="A9" s="5" t="str">
        <x:v>P1-05</x:v>
      </x:c>
      <x:c r="B9" s="10" t="n">
        <x:v>1</x:v>
      </x:c>
      <x:c r="C9" s="5" t="str">
        <x:v>工作台</x:v>
      </x:c>
      <x:c r="D9" s="5" t="str">
        <x:v>Academic 占位</x:v>
      </x:c>
      <x:c r="E9" s="5" t="str">
        <x:v>入口、未来流程及领域扩展位置</x:v>
      </x:c>
      <x:c r="F9" s="5" t="str">
        <x:v>没有伪造导师或可点击的假搜索</x:v>
      </x:c>
      <x:c r="G9" s="5" t="str">
        <x:v>P1-01</x:v>
      </x:c>
      <x:c r="H9" s="5" t="str">
        <x:v>Must</x:v>
      </x:c>
      <x:c r="I9" s="12" t="str">
        <x:v>未开始</x:v>
      </x:c>
      <x:c r="J9" s="12" t="str">
        <x:v>未验证</x:v>
      </x:c>
      <x:c r="K9" s="12" t="str"/>
      <x:c r="L9" s="5" t="str">
        <x:v>P1</x:v>
      </x:c>
    </x:row>
    <x:row r="10" ht="64" customHeight="1">
      <x:c r="A10" s="9" t="str">
        <x:v>P1-06</x:v>
      </x:c>
      <x:c r="B10" s="11" t="n">
        <x:v>1</x:v>
      </x:c>
      <x:c r="C10" s="9" t="str">
        <x:v>画像</x:v>
      </x:c>
      <x:c r="D10" s="9" t="str">
        <x:v>简历上传</x:v>
      </x:c>
      <x:c r="E10" s="9" t="str">
        <x:v>文本 PDF/DOCX，10 MB 上限，私有文件</x:v>
      </x:c>
      <x:c r="F10" s="9" t="str">
        <x:v>超限/不支持类型被拒；未实现 OCR 时明确提示</x:v>
      </x:c>
      <x:c r="G10" s="9" t="str">
        <x:v>P1-03</x:v>
      </x:c>
      <x:c r="H10" s="9" t="str">
        <x:v>Must</x:v>
      </x:c>
      <x:c r="I10" s="12" t="str">
        <x:v>未开始</x:v>
      </x:c>
      <x:c r="J10" s="12" t="str">
        <x:v>未验证</x:v>
      </x:c>
      <x:c r="K10" s="12" t="str"/>
      <x:c r="L10" s="9" t="str">
        <x:v>P1</x:v>
      </x:c>
    </x:row>
    <x:row r="11" ht="64" customHeight="1">
      <x:c r="A11" s="5" t="str">
        <x:v>P1-07</x:v>
      </x:c>
      <x:c r="B11" s="10" t="n">
        <x:v>1</x:v>
      </x:c>
      <x:c r="C11" s="5" t="str">
        <x:v>画像</x:v>
      </x:c>
      <x:c r="D11" s="5" t="str">
        <x:v>解析与人工确认</x:v>
      </x:c>
      <x:c r="E11" s="5" t="str">
        <x:v>字段提取、来源片段、编辑后创建画像版本</x:v>
      </x:c>
      <x:c r="F11" s="5" t="str">
        <x:v>修改学校/经历后生成新版本；未确认不作为已确认事实</x:v>
      </x:c>
      <x:c r="G11" s="5" t="str">
        <x:v>P1-06</x:v>
      </x:c>
      <x:c r="H11" s="5" t="str">
        <x:v>Must</x:v>
      </x:c>
      <x:c r="I11" s="12" t="str">
        <x:v>未开始</x:v>
      </x:c>
      <x:c r="J11" s="12" t="str">
        <x:v>未验证</x:v>
      </x:c>
      <x:c r="K11" s="12" t="str"/>
      <x:c r="L11" s="5" t="str">
        <x:v>P1</x:v>
      </x:c>
    </x:row>
    <x:row r="12" ht="64" customHeight="1">
      <x:c r="A12" s="9" t="str">
        <x:v>P1-08</x:v>
      </x:c>
      <x:c r="B12" s="11" t="n">
        <x:v>1</x:v>
      </x:c>
      <x:c r="C12" s="9" t="str">
        <x:v>画像</x:v>
      </x:c>
      <x:c r="D12" s="9" t="str">
        <x:v>手动及多画像</x:v>
      </x:c>
      <x:c r="E12" s="9" t="str">
        <x:v>职业目的、金融领域、地区、教育/工作经历</x:v>
      </x:c>
      <x:c r="F12" s="9" t="str">
        <x:v>不上传也可保存；可切换多个画像</x:v>
      </x:c>
      <x:c r="G12" s="9" t="str">
        <x:v>P1-03</x:v>
      </x:c>
      <x:c r="H12" s="9" t="str">
        <x:v>Must</x:v>
      </x:c>
      <x:c r="I12" s="12" t="str">
        <x:v>未开始</x:v>
      </x:c>
      <x:c r="J12" s="12" t="str">
        <x:v>未验证</x:v>
      </x:c>
      <x:c r="K12" s="12" t="str"/>
      <x:c r="L12" s="9" t="str">
        <x:v>P1</x:v>
      </x:c>
    </x:row>
    <x:row r="13" ht="64" customHeight="1">
      <x:c r="A13" s="5" t="str">
        <x:v>P1-09</x:v>
      </x:c>
      <x:c r="B13" s="10" t="n">
        <x:v>1</x:v>
      </x:c>
      <x:c r="C13" s="5" t="str">
        <x:v>搜索</x:v>
      </x:c>
      <x:c r="D13" s="5" t="str">
        <x:v>基础人员搜索</x:v>
      </x:c>
      <x:c r="E13" s="5" t="str">
        <x:v>Apollo 结构化人员查询；结果辅助定位 LinkedIn 公开档案</x:v>
      </x:c>
      <x:c r="F13" s="5" t="str">
        <x:v>条件真实传递；错误、空结果和分页分别展示</x:v>
      </x:c>
      <x:c r="G13" s="5" t="str">
        <x:v>P1-03</x:v>
      </x:c>
      <x:c r="H13" s="5" t="str">
        <x:v>Must</x:v>
      </x:c>
      <x:c r="I13" s="12" t="str">
        <x:v>未开始</x:v>
      </x:c>
      <x:c r="J13" s="12" t="str">
        <x:v>未验证</x:v>
      </x:c>
      <x:c r="K13" s="12" t="str"/>
      <x:c r="L13" s="5" t="str">
        <x:v>P1</x:v>
      </x:c>
    </x:row>
    <x:row r="14" ht="64" customHeight="1">
      <x:c r="A14" s="9" t="str">
        <x:v>P1-10</x:v>
      </x:c>
      <x:c r="B14" s="11" t="n">
        <x:v>1</x:v>
      </x:c>
      <x:c r="C14" s="9" t="str">
        <x:v>搜索</x:v>
      </x:c>
      <x:c r="D14" s="9" t="str">
        <x:v>按需信息补充</x:v>
      </x:c>
      <x:c r="E14" s="9" t="str">
        <x:v>Apollo 按需补充邮箱及详情；核对后的 LinkedIn 档案辅助匹配</x:v>
      </x:c>
      <x:c r="F14" s="9" t="str">
        <x:v>搜索无邮箱不报成功补充；无结果保留 unknown</x:v>
      </x:c>
      <x:c r="G14" s="9" t="str">
        <x:v>P1-09</x:v>
      </x:c>
      <x:c r="H14" s="9" t="str">
        <x:v>Must</x:v>
      </x:c>
      <x:c r="I14" s="12" t="str">
        <x:v>未开始</x:v>
      </x:c>
      <x:c r="J14" s="12" t="str">
        <x:v>未验证</x:v>
      </x:c>
      <x:c r="K14" s="12" t="str"/>
      <x:c r="L14" s="9" t="str">
        <x:v>P1</x:v>
      </x:c>
    </x:row>
    <x:row r="15" ht="64" customHeight="1">
      <x:c r="A15" s="5" t="str">
        <x:v>P1-11</x:v>
      </x:c>
      <x:c r="B15" s="10" t="n">
        <x:v>1</x:v>
      </x:c>
      <x:c r="C15" s="5" t="str">
        <x:v>搜索</x:v>
      </x:c>
      <x:c r="D15" s="5" t="str">
        <x:v>LinkedIn 资料与双源证据</x:v>
      </x:c>
      <x:c r="E15" s="5" t="str">
        <x:v>SerpAPI 检索 LinkedIn 公开档案；与 Apollo 关联互补，保留来源、时间与冲突</x:v>
      </x:c>
      <x:c r="F15" s="5" t="str">
        <x:v>摘要标待核实；同名不自动合并，冲突不覆盖；定向检索与反向匹配须真实验证</x:v>
      </x:c>
      <x:c r="G15" s="5" t="str">
        <x:v>P1-09</x:v>
      </x:c>
      <x:c r="H15" s="5" t="str">
        <x:v>Must</x:v>
      </x:c>
      <x:c r="I15" s="12" t="str">
        <x:v>未开始</x:v>
      </x:c>
      <x:c r="J15" s="12" t="str">
        <x:v>未验证</x:v>
      </x:c>
      <x:c r="K15" s="12" t="str"/>
      <x:c r="L15" s="5" t="str">
        <x:v>P1</x:v>
      </x:c>
    </x:row>
    <x:row r="16" ht="64" customHeight="1">
      <x:c r="A16" s="9" t="str">
        <x:v>P1-12</x:v>
      </x:c>
      <x:c r="B16" s="11" t="n">
        <x:v>1</x:v>
      </x:c>
      <x:c r="C16" s="9" t="str">
        <x:v>搜索</x:v>
      </x:c>
      <x:c r="D16" s="9" t="str">
        <x:v>AI 推荐理由</x:v>
      </x:c>
      <x:c r="E16" s="9" t="str">
        <x:v>选定画像与双源已核实事实比较；记录画像版本，待核实摘要不作为写信事实</x:v>
      </x:c>
      <x:c r="F16" s="9" t="str">
        <x:v>无证据不编造校友；不同画像推荐不混用</x:v>
      </x:c>
      <x:c r="G16" s="9" t="str">
        <x:v>P1-07、P1-11</x:v>
      </x:c>
      <x:c r="H16" s="9" t="str">
        <x:v>Must</x:v>
      </x:c>
      <x:c r="I16" s="12" t="str">
        <x:v>未开始</x:v>
      </x:c>
      <x:c r="J16" s="12" t="str">
        <x:v>未验证</x:v>
      </x:c>
      <x:c r="K16" s="12" t="str"/>
      <x:c r="L16" s="9" t="str">
        <x:v>P1</x:v>
      </x:c>
    </x:row>
    <x:row r="17" ht="64" customHeight="1">
      <x:c r="A17" s="5" t="str">
        <x:v>P1-13</x:v>
      </x:c>
      <x:c r="B17" s="10" t="n">
        <x:v>1</x:v>
      </x:c>
      <x:c r="C17" s="5" t="str">
        <x:v>搜索</x:v>
      </x:c>
      <x:c r="D17" s="5" t="str">
        <x:v>保存与去重</x:v>
      </x:c>
      <x:c r="E17" s="5" t="str">
        <x:v>单人/批量保存；提供商 ID 优先</x:v>
      </x:c>
      <x:c r="F17" s="5" t="str">
        <x:v>相同来源记录二次保存不重复；同名不自动合并</x:v>
      </x:c>
      <x:c r="G17" s="5" t="str">
        <x:v>P1-09</x:v>
      </x:c>
      <x:c r="H17" s="5" t="str">
        <x:v>Must</x:v>
      </x:c>
      <x:c r="I17" s="12" t="str">
        <x:v>未开始</x:v>
      </x:c>
      <x:c r="J17" s="12" t="str">
        <x:v>未验证</x:v>
      </x:c>
      <x:c r="K17" s="12" t="str"/>
      <x:c r="L17" s="5" t="str">
        <x:v>P1</x:v>
      </x:c>
    </x:row>
    <x:row r="18" ht="64" customHeight="1">
      <x:c r="A18" s="9" t="str">
        <x:v>P1-14</x:v>
      </x:c>
      <x:c r="B18" s="11" t="n">
        <x:v>1</x:v>
      </x:c>
      <x:c r="C18" s="9" t="str">
        <x:v>联系人</x:v>
      </x:c>
      <x:c r="D18" s="9" t="str">
        <x:v>联系人基础管理</x:v>
      </x:c>
      <x:c r="E18" s="9" t="str">
        <x:v>手动新增、详情、标签/简单列表、备注</x:v>
      </x:c>
      <x:c r="F18" s="9" t="str">
        <x:v>刷新后保存；能从详情进入写信</x:v>
      </x:c>
      <x:c r="G18" s="9" t="str">
        <x:v>P1-03</x:v>
      </x:c>
      <x:c r="H18" s="9" t="str">
        <x:v>Must</x:v>
      </x:c>
      <x:c r="I18" s="12" t="str">
        <x:v>未开始</x:v>
      </x:c>
      <x:c r="J18" s="12" t="str">
        <x:v>未验证</x:v>
      </x:c>
      <x:c r="K18" s="12" t="str"/>
      <x:c r="L18" s="9" t="str">
        <x:v>P1</x:v>
      </x:c>
    </x:row>
    <x:row r="19" ht="64" customHeight="1">
      <x:c r="A19" s="5" t="str">
        <x:v>P1-15</x:v>
      </x:c>
      <x:c r="B19" s="10" t="n">
        <x:v>1</x:v>
      </x:c>
      <x:c r="C19" s="5" t="str">
        <x:v>联系人</x:v>
      </x:c>
      <x:c r="D19" s="5" t="str">
        <x:v>领域资料和邮箱状态</x:v>
      </x:c>
      <x:c r="E19" s="5" t="str">
        <x:v>共享 Contact + 领域扩展；邮箱状态独立</x:v>
      </x:c>
      <x:c r="F19" s="5" t="str">
        <x:v>同人可关联多个领域；verified 不显示为保证送达</x:v>
      </x:c>
      <x:c r="G19" s="5" t="str">
        <x:v>P1-14</x:v>
      </x:c>
      <x:c r="H19" s="5" t="str">
        <x:v>Must</x:v>
      </x:c>
      <x:c r="I19" s="12" t="str">
        <x:v>未开始</x:v>
      </x:c>
      <x:c r="J19" s="12" t="str">
        <x:v>未验证</x:v>
      </x:c>
      <x:c r="K19" s="12" t="str"/>
      <x:c r="L19" s="5" t="str">
        <x:v>P1</x:v>
      </x:c>
    </x:row>
    <x:row r="20" ht="64" customHeight="1">
      <x:c r="A20" s="9" t="str">
        <x:v>P1-16</x:v>
      </x:c>
      <x:c r="B20" s="11" t="n">
        <x:v>1</x:v>
      </x:c>
      <x:c r="C20" s="9" t="str">
        <x:v>AI 写作</x:v>
      </x:c>
      <x:c r="D20" s="9" t="str">
        <x:v>写作 Brief</x:v>
      </x:c>
      <x:c r="E20" s="9" t="str">
        <x:v>联系人、画像、目的、CTA、语言、语气、长度</x:v>
      </x:c>
      <x:c r="F20" s="9" t="str">
        <x:v>没有画像可手写；生成缺少必要背景时定位缺失项</x:v>
      </x:c>
      <x:c r="G20" s="9" t="str">
        <x:v>P1-08、P1-14</x:v>
      </x:c>
      <x:c r="H20" s="9" t="str">
        <x:v>Must</x:v>
      </x:c>
      <x:c r="I20" s="12" t="str">
        <x:v>未开始</x:v>
      </x:c>
      <x:c r="J20" s="12" t="str">
        <x:v>未验证</x:v>
      </x:c>
      <x:c r="K20" s="12" t="str"/>
      <x:c r="L20" s="9" t="str">
        <x:v>P1</x:v>
      </x:c>
    </x:row>
    <x:row r="21" ht="64" customHeight="1">
      <x:c r="A21" s="5" t="str">
        <x:v>P1-17</x:v>
      </x:c>
      <x:c r="B21" s="10" t="n">
        <x:v>1</x:v>
      </x:c>
      <x:c r="C21" s="5" t="str">
        <x:v>AI 写作</x:v>
      </x:c>
      <x:c r="D21" s="5" t="str">
        <x:v>证据选择</x:v>
      </x:c>
      <x:c r="E21" s="5" t="str">
        <x:v>可选事实、来源、未知项；选择允许用于邮件的事实</x:v>
      </x:c>
      <x:c r="F21" s="5" t="str">
        <x:v>未选择或未知事实不能被自动编成肯定句</x:v>
      </x:c>
      <x:c r="G21" s="5" t="str">
        <x:v>P1-11、P1-16</x:v>
      </x:c>
      <x:c r="H21" s="5" t="str">
        <x:v>Must</x:v>
      </x:c>
      <x:c r="I21" s="12" t="str">
        <x:v>未开始</x:v>
      </x:c>
      <x:c r="J21" s="12" t="str">
        <x:v>未验证</x:v>
      </x:c>
      <x:c r="K21" s="12" t="str"/>
      <x:c r="L21" s="5" t="str">
        <x:v>P1</x:v>
      </x:c>
    </x:row>
    <x:row r="22" ht="64" customHeight="1">
      <x:c r="A22" s="9" t="str">
        <x:v>P1-18</x:v>
      </x:c>
      <x:c r="B22" s="11" t="n">
        <x:v>1</x:v>
      </x:c>
      <x:c r="C22" s="9" t="str">
        <x:v>AI 写作</x:v>
      </x:c>
      <x:c r="D22" s="9" t="str">
        <x:v>生成建议</x:v>
      </x:c>
      <x:c r="E22" s="9" t="str">
        <x:v>结构化 subject/body/claims/warnings；建议区展示</x:v>
      </x:c>
      <x:c r="F22" s="9" t="str">
        <x:v>生成不覆盖已编辑正文；失败保留当前稿</x:v>
      </x:c>
      <x:c r="G22" s="9" t="str">
        <x:v>P1-17</x:v>
      </x:c>
      <x:c r="H22" s="9" t="str">
        <x:v>Must</x:v>
      </x:c>
      <x:c r="I22" s="12" t="str">
        <x:v>未开始</x:v>
      </x:c>
      <x:c r="J22" s="12" t="str">
        <x:v>未验证</x:v>
      </x:c>
      <x:c r="K22" s="12" t="str"/>
      <x:c r="L22" s="9" t="str">
        <x:v>P1</x:v>
      </x:c>
    </x:row>
    <x:row r="23" ht="64" customHeight="1">
      <x:c r="A23" s="5" t="str">
        <x:v>P1-19</x:v>
      </x:c>
      <x:c r="B23" s="10" t="n">
        <x:v>1</x:v>
      </x:c>
      <x:c r="C23" s="5" t="str">
        <x:v>AI 写作</x:v>
      </x:c>
      <x:c r="D23" s="5" t="str">
        <x:v>用户采纳</x:v>
      </x:c>
      <x:c r="E23" s="5" t="str">
        <x:v>显示当前稿与建议稿；采纳/丢弃/撤销</x:v>
      </x:c>
      <x:c r="F23" s="5" t="str">
        <x:v>采纳生成新版本；可恢复上一稿</x:v>
      </x:c>
      <x:c r="G23" s="5" t="str">
        <x:v>P1-18</x:v>
      </x:c>
      <x:c r="H23" s="5" t="str">
        <x:v>Must</x:v>
      </x:c>
      <x:c r="I23" s="12" t="str">
        <x:v>未开始</x:v>
      </x:c>
      <x:c r="J23" s="12" t="str">
        <x:v>未验证</x:v>
      </x:c>
      <x:c r="K23" s="12" t="str"/>
      <x:c r="L23" s="5" t="str">
        <x:v>P1</x:v>
      </x:c>
    </x:row>
    <x:row r="24" ht="64" customHeight="1">
      <x:c r="A24" s="9" t="str">
        <x:v>P1-20</x:v>
      </x:c>
      <x:c r="B24" s="11" t="n">
        <x:v>1</x:v>
      </x:c>
      <x:c r="C24" s="9" t="str">
        <x:v>AI 写作</x:v>
      </x:c>
      <x:c r="D24" s="9" t="str">
        <x:v>局部改写</x:v>
      </x:c>
      <x:c r="E24" s="9" t="str">
        <x:v>选中文本后缩短、语气改写；版本校验</x:v>
      </x:c>
      <x:c r="F24" s="9" t="str">
        <x:v>编辑期间返回旧结果不会覆盖新稿；只替换选区</x:v>
      </x:c>
      <x:c r="G24" s="9" t="str">
        <x:v>P1-19</x:v>
      </x:c>
      <x:c r="H24" s="9" t="str">
        <x:v>Must</x:v>
      </x:c>
      <x:c r="I24" s="12" t="str">
        <x:v>未开始</x:v>
      </x:c>
      <x:c r="J24" s="12" t="str">
        <x:v>未验证</x:v>
      </x:c>
      <x:c r="K24" s="12" t="str"/>
      <x:c r="L24" s="9" t="str">
        <x:v>P1</x:v>
      </x:c>
    </x:row>
    <x:row r="25" ht="64" customHeight="1">
      <x:c r="A25" s="5" t="str">
        <x:v>P1-21</x:v>
      </x:c>
      <x:c r="B25" s="10" t="n">
        <x:v>1</x:v>
      </x:c>
      <x:c r="C25" s="5" t="str">
        <x:v>AI 写作</x:v>
      </x:c>
      <x:c r="D25" s="5" t="str">
        <x:v>富文本与变量</x:v>
      </x:c>
      <x:c r="E25" s="5" t="str">
        <x:v>Tiptap 基础格式、变量节点及来源映射</x:v>
      </x:c>
      <x:c r="F25" s="5" t="str">
        <x:v>链接和列表可用；原始文档结构可持久化</x:v>
      </x:c>
      <x:c r="G25" s="5" t="str">
        <x:v>P1-16</x:v>
      </x:c>
      <x:c r="H25" s="5" t="str">
        <x:v>Must</x:v>
      </x:c>
      <x:c r="I25" s="12" t="str">
        <x:v>未开始</x:v>
      </x:c>
      <x:c r="J25" s="12" t="str">
        <x:v>未验证</x:v>
      </x:c>
      <x:c r="K25" s="12" t="str"/>
      <x:c r="L25" s="5" t="str">
        <x:v>P1</x:v>
      </x:c>
    </x:row>
    <x:row r="26" ht="64" customHeight="1">
      <x:c r="A26" s="9" t="str">
        <x:v>P1-22</x:v>
      </x:c>
      <x:c r="B26" s="11" t="n">
        <x:v>1</x:v>
      </x:c>
      <x:c r="C26" s="9" t="str">
        <x:v>AI 写作</x:v>
      </x:c>
      <x:c r="D26" s="9" t="str">
        <x:v>联系人效果预览</x:v>
      </x:c>
      <x:c r="E26" s="9" t="str">
        <x:v>正文及主题渲染变量；显示 missing 列表</x:v>
      </x:c>
      <x:c r="F26" s="9" t="str">
        <x:v>未知变量阻止标为 Ready；不同联系人预览正确</x:v>
      </x:c>
      <x:c r="G26" s="9" t="str">
        <x:v>P1-21</x:v>
      </x:c>
      <x:c r="H26" s="9" t="str">
        <x:v>Must</x:v>
      </x:c>
      <x:c r="I26" s="12" t="str">
        <x:v>未开始</x:v>
      </x:c>
      <x:c r="J26" s="12" t="str">
        <x:v>未验证</x:v>
      </x:c>
      <x:c r="K26" s="12" t="str"/>
      <x:c r="L26" s="9" t="str">
        <x:v>P1</x:v>
      </x:c>
    </x:row>
    <x:row r="27" ht="64" customHeight="1">
      <x:c r="A27" s="5" t="str">
        <x:v>P1-23</x:v>
      </x:c>
      <x:c r="B27" s="10" t="n">
        <x:v>1</x:v>
      </x:c>
      <x:c r="C27" s="5" t="str">
        <x:v>AI 写作</x:v>
      </x:c>
      <x:c r="D27" s="5" t="str">
        <x:v>自动保存与冲突</x:v>
      </x:c>
      <x:c r="E27" s="5" t="str">
        <x:v>防抖保存、revision、409 冲突和错误状态</x:v>
      </x:c>
      <x:c r="F27" s="5" t="str">
        <x:v>刷新可恢复；保存失败不显示 Saved；冲突保留两份</x:v>
      </x:c>
      <x:c r="G27" s="5" t="str">
        <x:v>P1-19</x:v>
      </x:c>
      <x:c r="H27" s="5" t="str">
        <x:v>Must</x:v>
      </x:c>
      <x:c r="I27" s="12" t="str">
        <x:v>未开始</x:v>
      </x:c>
      <x:c r="J27" s="12" t="str">
        <x:v>未验证</x:v>
      </x:c>
      <x:c r="K27" s="12" t="str"/>
      <x:c r="L27" s="5" t="str">
        <x:v>P1</x:v>
      </x:c>
    </x:row>
    <x:row r="28" ht="64" customHeight="1">
      <x:c r="A28" s="9" t="str">
        <x:v>P1-24</x:v>
      </x:c>
      <x:c r="B28" s="11" t="n">
        <x:v>1</x:v>
      </x:c>
      <x:c r="C28" s="9" t="str">
        <x:v>AI 写作</x:v>
      </x:c>
      <x:c r="D28" s="9" t="str">
        <x:v>草稿库和复制</x:v>
      </x:c>
      <x:c r="E28" s="9" t="str">
        <x:v>按联系人查草稿；复制主题/纯文本；Finance 起点</x:v>
      </x:c>
      <x:c r="F28" s="9" t="str">
        <x:v>复制结果与最终预览一致；不出现发送成功</x:v>
      </x:c>
      <x:c r="G28" s="9" t="str">
        <x:v>P1-22、P1-23</x:v>
      </x:c>
      <x:c r="H28" s="9" t="str">
        <x:v>Must</x:v>
      </x:c>
      <x:c r="I28" s="12" t="str">
        <x:v>未开始</x:v>
      </x:c>
      <x:c r="J28" s="12" t="str">
        <x:v>未验证</x:v>
      </x:c>
      <x:c r="K28" s="12" t="str"/>
      <x:c r="L28" s="9" t="str">
        <x:v>P1</x:v>
      </x:c>
    </x:row>
    <x:row r="29" ht="64" customHeight="1">
      <x:c r="A29" s="5" t="str">
        <x:v>P1-25</x:v>
      </x:c>
      <x:c r="B29" s="10" t="n">
        <x:v>1</x:v>
      </x:c>
      <x:c r="C29" s="5" t="str">
        <x:v>AI 写作</x:v>
      </x:c>
      <x:c r="D29" s="5" t="str">
        <x:v>AI 运行记录</x:v>
      </x:c>
      <x:c r="E29" s="5" t="str">
        <x:v>模型、提示词版本、事实 ID、输入版本、耗时与状态</x:v>
      </x:c>
      <x:c r="F29" s="5" t="str">
        <x:v>无凭据仍有 Mock；调用失败可追踪且不泄露原文日志</x:v>
      </x:c>
      <x:c r="G29" s="5" t="str">
        <x:v>P1-18</x:v>
      </x:c>
      <x:c r="H29" s="5" t="str">
        <x:v>Must</x:v>
      </x:c>
      <x:c r="I29" s="12" t="str">
        <x:v>未开始</x:v>
      </x:c>
      <x:c r="J29" s="12" t="str">
        <x:v>未验证</x:v>
      </x:c>
      <x:c r="K29" s="12" t="str"/>
      <x:c r="L29" s="5" t="str">
        <x:v>P1</x:v>
      </x:c>
    </x:row>
    <x:row r="30" ht="64" customHeight="1">
      <x:c r="A30" s="9" t="str">
        <x:v>P1-26</x:v>
      </x:c>
      <x:c r="B30" s="11" t="n">
        <x:v>1</x:v>
      </x:c>
      <x:c r="C30" s="9" t="str">
        <x:v>工程与验收</x:v>
      </x:c>
      <x:c r="D30" s="9" t="str">
        <x:v>Provider 与显式 Mock</x:v>
      </x:c>
      <x:c r="E30" s="9" t="str">
        <x:v>真实搜索/补充/公开搜索/AI 适配；模拟数据隔离</x:v>
      </x:c>
      <x:c r="F30" s="9" t="str">
        <x:v>真实失败不回退模拟成功；每条模拟结果有标识</x:v>
      </x:c>
      <x:c r="G30" s="9" t="str">
        <x:v>P1-09、P1-18</x:v>
      </x:c>
      <x:c r="H30" s="9" t="str">
        <x:v>Must</x:v>
      </x:c>
      <x:c r="I30" s="12" t="str">
        <x:v>未开始</x:v>
      </x:c>
      <x:c r="J30" s="12" t="str">
        <x:v>未验证</x:v>
      </x:c>
      <x:c r="K30" s="12" t="str"/>
      <x:c r="L30" s="9" t="str">
        <x:v>P1</x:v>
      </x:c>
    </x:row>
    <x:row r="31" ht="64" customHeight="1">
      <x:c r="A31" s="5" t="str">
        <x:v>P1-27</x:v>
      </x:c>
      <x:c r="B31" s="10" t="n">
        <x:v>1</x:v>
      </x:c>
      <x:c r="C31" s="5" t="str">
        <x:v>工程与验收</x:v>
      </x:c>
      <x:c r="D31" s="5" t="str">
        <x:v>Docker 和测试</x:v>
      </x:c>
      <x:c r="E31" s="5" t="str">
        <x:v>web/api/db、迁移、种子及关键闭环测试</x:v>
      </x:c>
      <x:c r="F31" s="5" t="str">
        <x:v>干净环境依 README 启动；产出实际验证记录</x:v>
      </x:c>
      <x:c r="G31" s="5" t="str">
        <x:v>P1-24、P1-26</x:v>
      </x:c>
      <x:c r="H31" s="5" t="str">
        <x:v>Must</x:v>
      </x:c>
      <x:c r="I31" s="12" t="str">
        <x:v>未开始</x:v>
      </x:c>
      <x:c r="J31" s="12" t="str">
        <x:v>未验证</x:v>
      </x:c>
      <x:c r="K31" s="12" t="str"/>
      <x:c r="L31" s="5" t="str">
        <x:v>P1</x:v>
      </x:c>
    </x:row>
    <x:row r="32" ht="64" customHeight="1">
      <x:c r="A32" s="9" t="str">
        <x:v>P2-01</x:v>
      </x:c>
      <x:c r="B32" s="11" t="n">
        <x:v>2</x:v>
      </x:c>
      <x:c r="C32" s="9" t="str">
        <x:v>账户与邮箱</x:v>
      </x:c>
      <x:c r="D32" s="9" t="str">
        <x:v>Google 平台登录</x:v>
      </x:c>
      <x:c r="E32" s="9" t="str">
        <x:v>User/Membership/Session；认领本地演示数据走显式迁移</x:v>
      </x:c>
      <x:c r="F32" s="9" t="str">
        <x:v>两个用户跨租户请求被拒；生产无演示登录绕过</x:v>
      </x:c>
      <x:c r="G32" s="9" t="str">
        <x:v>P1-03</x:v>
      </x:c>
      <x:c r="H32" s="9" t="str">
        <x:v>Must</x:v>
      </x:c>
      <x:c r="I32" s="12" t="str">
        <x:v>未开始</x:v>
      </x:c>
      <x:c r="J32" s="12" t="str">
        <x:v>未验证</x:v>
      </x:c>
      <x:c r="K32" s="12" t="str"/>
      <x:c r="L32" s="9" t="str">
        <x:v>P2</x:v>
      </x:c>
    </x:row>
    <x:row r="33" ht="64" customHeight="1">
      <x:c r="A33" s="5" t="str">
        <x:v>P2-02</x:v>
      </x:c>
      <x:c r="B33" s="10" t="n">
        <x:v>2</x:v>
      </x:c>
      <x:c r="C33" s="5" t="str">
        <x:v>账户与邮箱</x:v>
      </x:c>
      <x:c r="D33" s="5" t="str">
        <x:v>多 Gmail 授权</x:v>
      </x:c>
      <x:c r="E33" s="5" t="str">
        <x:v>平台登录与 Gmail 连接分开；邮箱地址可不同</x:v>
      </x:c>
      <x:c r="F33" s="5" t="str">
        <x:v>单用户连接两个邮箱；OAuth state 校验</x:v>
      </x:c>
      <x:c r="G33" s="5" t="str">
        <x:v>P2-01</x:v>
      </x:c>
      <x:c r="H33" s="5" t="str">
        <x:v>Must</x:v>
      </x:c>
      <x:c r="I33" s="12" t="str">
        <x:v>未开始</x:v>
      </x:c>
      <x:c r="J33" s="12" t="str">
        <x:v>未验证</x:v>
      </x:c>
      <x:c r="K33" s="12" t="str"/>
      <x:c r="L33" s="5" t="str">
        <x:v>P2</x:v>
      </x:c>
    </x:row>
    <x:row r="34" ht="64" customHeight="1">
      <x:c r="A34" s="9" t="str">
        <x:v>P2-03</x:v>
      </x:c>
      <x:c r="B34" s="11" t="n">
        <x:v>2</x:v>
      </x:c>
      <x:c r="C34" s="9" t="str">
        <x:v>账户与邮箱</x:v>
      </x:c>
      <x:c r="D34" s="9" t="str">
        <x:v>凭据生命周期</x:v>
      </x:c>
      <x:c r="E34" s="9" t="str">
        <x:v>服务端加密 Token、刷新、断连及重授权</x:v>
      </x:c>
      <x:c r="F34" s="9" t="str">
        <x:v>前端/日志无 Token；断连停止对应任务</x:v>
      </x:c>
      <x:c r="G34" s="9" t="str">
        <x:v>P2-02</x:v>
      </x:c>
      <x:c r="H34" s="9" t="str">
        <x:v>Must</x:v>
      </x:c>
      <x:c r="I34" s="12" t="str">
        <x:v>未开始</x:v>
      </x:c>
      <x:c r="J34" s="12" t="str">
        <x:v>未验证</x:v>
      </x:c>
      <x:c r="K34" s="12" t="str"/>
      <x:c r="L34" s="9" t="str">
        <x:v>P2</x:v>
      </x:c>
    </x:row>
    <x:row r="35" ht="64" customHeight="1">
      <x:c r="A35" s="5" t="str">
        <x:v>P2-04</x:v>
      </x:c>
      <x:c r="B35" s="10" t="n">
        <x:v>2</x:v>
      </x:c>
      <x:c r="C35" s="5" t="str">
        <x:v>账户与邮箱</x:v>
      </x:c>
      <x:c r="D35" s="5" t="str">
        <x:v>发件身份和配置</x:v>
      </x:c>
      <x:c r="E35" s="5" t="str">
        <x:v>授权身份、显示名、平台签名、时区、发送窗口</x:v>
      </x:c>
      <x:c r="F35" s="5" t="str">
        <x:v>不得任意伪造 From；时区及签名预览正确</x:v>
      </x:c>
      <x:c r="G35" s="5" t="str">
        <x:v>P2-02</x:v>
      </x:c>
      <x:c r="H35" s="5" t="str">
        <x:v>Must</x:v>
      </x:c>
      <x:c r="I35" s="12" t="str">
        <x:v>未开始</x:v>
      </x:c>
      <x:c r="J35" s="12" t="str">
        <x:v>未验证</x:v>
      </x:c>
      <x:c r="K35" s="12" t="str"/>
      <x:c r="L35" s="5" t="str">
        <x:v>P2</x:v>
      </x:c>
    </x:row>
    <x:row r="36" ht="64" customHeight="1">
      <x:c r="A36" s="9" t="str">
        <x:v>P2-05</x:v>
      </x:c>
      <x:c r="B36" s="11" t="n">
        <x:v>2</x:v>
      </x:c>
      <x:c r="C36" s="9" t="str">
        <x:v>发送</x:v>
      </x:c>
      <x:c r="D36" s="9" t="str">
        <x:v>发送检查与内容快照</x:v>
      </x:c>
      <x:c r="E36" s="9" t="str">
        <x:v>收件人、变量、HTML、安全附件、禁止发送列表</x:v>
      </x:c>
      <x:c r="F36" s="9" t="str">
        <x:v>冻结确认内容；后改模板不变更已批准任务</x:v>
      </x:c>
      <x:c r="G36" s="9" t="str">
        <x:v>P1-22、P2-04</x:v>
      </x:c>
      <x:c r="H36" s="9" t="str">
        <x:v>Must</x:v>
      </x:c>
      <x:c r="I36" s="12" t="str">
        <x:v>未开始</x:v>
      </x:c>
      <x:c r="J36" s="12" t="str">
        <x:v>未验证</x:v>
      </x:c>
      <x:c r="K36" s="12" t="str"/>
      <x:c r="L36" s="9" t="str">
        <x:v>P2</x:v>
      </x:c>
    </x:row>
    <x:row r="37" ht="64" customHeight="1">
      <x:c r="A37" s="5" t="str">
        <x:v>P2-06</x:v>
      </x:c>
      <x:c r="B37" s="10" t="n">
        <x:v>2</x:v>
      </x:c>
      <x:c r="C37" s="5" t="str">
        <x:v>发送</x:v>
      </x:c>
      <x:c r="D37" s="5" t="str">
        <x:v>测试发送</x:v>
      </x:c>
      <x:c r="E37" s="5" t="str">
        <x:v>明确测试地址；选择联系人用于变量预览</x:v>
      </x:c>
      <x:c r="F37" s="5" t="str">
        <x:v>测试事件不更新正式触达数或联系人联系状态</x:v>
      </x:c>
      <x:c r="G37" s="5" t="str">
        <x:v>P2-05</x:v>
      </x:c>
      <x:c r="H37" s="5" t="str">
        <x:v>Must</x:v>
      </x:c>
      <x:c r="I37" s="12" t="str">
        <x:v>未开始</x:v>
      </x:c>
      <x:c r="J37" s="12" t="str">
        <x:v>未验证</x:v>
      </x:c>
      <x:c r="K37" s="12" t="str"/>
      <x:c r="L37" s="5" t="str">
        <x:v>P2</x:v>
      </x:c>
    </x:row>
    <x:row r="38" ht="64" customHeight="1">
      <x:c r="A38" s="9" t="str">
        <x:v>P2-07</x:v>
      </x:c>
      <x:c r="B38" s="11" t="n">
        <x:v>2</x:v>
      </x:c>
      <x:c r="C38" s="9" t="str">
        <x:v>发送</x:v>
      </x:c>
      <x:c r="D38" s="9" t="str">
        <x:v>单封正式发送</x:v>
      </x:c>
      <x:c r="E38" s="9" t="str">
        <x:v>用户明确发送；provider 接受后记 sent</x:v>
      </x:c>
      <x:c r="F38" s="9" t="str">
        <x:v>发送返回 ID；不得把 sent 标为已送达/已读</x:v>
      </x:c>
      <x:c r="G38" s="9" t="str">
        <x:v>P2-05</x:v>
      </x:c>
      <x:c r="H38" s="9" t="str">
        <x:v>Must</x:v>
      </x:c>
      <x:c r="I38" s="12" t="str">
        <x:v>未开始</x:v>
      </x:c>
      <x:c r="J38" s="12" t="str">
        <x:v>未验证</x:v>
      </x:c>
      <x:c r="K38" s="12" t="str"/>
      <x:c r="L38" s="9" t="str">
        <x:v>P2</x:v>
      </x:c>
    </x:row>
    <x:row r="39" ht="64" customHeight="1">
      <x:c r="A39" s="5" t="str">
        <x:v>P2-08</x:v>
      </x:c>
      <x:c r="B39" s="10" t="n">
        <x:v>2</x:v>
      </x:c>
      <x:c r="C39" s="5" t="str">
        <x:v>发送</x:v>
      </x:c>
      <x:c r="D39" s="5" t="str">
        <x:v>单封定时发送</x:v>
      </x:c>
      <x:c r="E39" s="5" t="str">
        <x:v>PostgreSQL 任务+Redis/Worker；合法窗口和限额</x:v>
      </x:c>
      <x:c r="F39" s="5" t="str">
        <x:v>重启恢复；取消生效；时区/DST 边界有测试</x:v>
      </x:c>
      <x:c r="G39" s="5" t="str">
        <x:v>P2-07</x:v>
      </x:c>
      <x:c r="H39" s="5" t="str">
        <x:v>Must</x:v>
      </x:c>
      <x:c r="I39" s="12" t="str">
        <x:v>未开始</x:v>
      </x:c>
      <x:c r="J39" s="12" t="str">
        <x:v>未验证</x:v>
      </x:c>
      <x:c r="K39" s="12" t="str"/>
      <x:c r="L39" s="5" t="str">
        <x:v>P2</x:v>
      </x:c>
    </x:row>
    <x:row r="40" ht="64" customHeight="1">
      <x:c r="A40" s="9" t="str">
        <x:v>P2-09</x:v>
      </x:c>
      <x:c r="B40" s="11" t="n">
        <x:v>2</x:v>
      </x:c>
      <x:c r="C40" s="9" t="str">
        <x:v>发送</x:v>
      </x:c>
      <x:c r="D40" s="9" t="str">
        <x:v>幂等与不确定结果</x:v>
      </x:c>
      <x:c r="E40" s="9" t="str">
        <x:v>独立幂等键和 SendAttempt；超时进入 unknown</x:v>
      </x:c>
      <x:c r="F40" s="9" t="str">
        <x:v>重复点击不重复任务；可能已发送不盲目重试</x:v>
      </x:c>
      <x:c r="G40" s="9" t="str">
        <x:v>P2-08</x:v>
      </x:c>
      <x:c r="H40" s="9" t="str">
        <x:v>Must</x:v>
      </x:c>
      <x:c r="I40" s="12" t="str">
        <x:v>未开始</x:v>
      </x:c>
      <x:c r="J40" s="12" t="str">
        <x:v>未验证</x:v>
      </x:c>
      <x:c r="K40" s="12" t="str"/>
      <x:c r="L40" s="9" t="str">
        <x:v>P2</x:v>
      </x:c>
    </x:row>
    <x:row r="41" ht="64" customHeight="1">
      <x:c r="A41" s="5" t="str">
        <x:v>P2-10</x:v>
      </x:c>
      <x:c r="B41" s="10" t="n">
        <x:v>2</x:v>
      </x:c>
      <x:c r="C41" s="5" t="str">
        <x:v>发送</x:v>
      </x:c>
      <x:c r="D41" s="5" t="str">
        <x:v>附件与发送记录</x:v>
      </x:c>
      <x:c r="E41" s="5" t="str">
        <x:v>用户主动附简历，记录 MIME 大小和结果</x:v>
      </x:c>
      <x:c r="F41" s="5" t="str">
        <x:v>未勾选不附简历；失败可查具体原因</x:v>
      </x:c>
      <x:c r="G41" s="5" t="str">
        <x:v>P2-05</x:v>
      </x:c>
      <x:c r="H41" s="5" t="str">
        <x:v>Must</x:v>
      </x:c>
      <x:c r="I41" s="12" t="str">
        <x:v>未开始</x:v>
      </x:c>
      <x:c r="J41" s="12" t="str">
        <x:v>未验证</x:v>
      </x:c>
      <x:c r="K41" s="12" t="str"/>
      <x:c r="L41" s="5" t="str">
        <x:v>P2</x:v>
      </x:c>
    </x:row>
    <x:row r="42" ht="64" customHeight="1">
      <x:c r="A42" s="9" t="str">
        <x:v>P2-11</x:v>
      </x:c>
      <x:c r="B42" s="11" t="n">
        <x:v>2</x:v>
      </x:c>
      <x:c r="C42" s="9" t="str">
        <x:v>发送</x:v>
      </x:c>
      <x:c r="D42" s="9" t="str">
        <x:v>禁止发送基础</x:v>
      </x:c>
      <x:c r="E42" s="9" t="str">
        <x:v>用户手动屏蔽地址；工作区跨邮箱执行</x:v>
      </x:c>
      <x:c r="F42" s="9" t="str">
        <x:v>屏蔽后待发送任务不会再提交</x:v>
      </x:c>
      <x:c r="G42" s="9" t="str">
        <x:v>P2-08</x:v>
      </x:c>
      <x:c r="H42" s="9" t="str">
        <x:v>Must</x:v>
      </x:c>
      <x:c r="I42" s="12" t="str">
        <x:v>未开始</x:v>
      </x:c>
      <x:c r="J42" s="12" t="str">
        <x:v>未验证</x:v>
      </x:c>
      <x:c r="K42" s="12" t="str"/>
      <x:c r="L42" s="9" t="str">
        <x:v>P2</x:v>
      </x:c>
    </x:row>
    <x:row r="43" ht="64" customHeight="1">
      <x:c r="A43" s="5" t="str">
        <x:v>P2-12</x:v>
      </x:c>
      <x:c r="B43" s="10" t="n">
        <x:v>2</x:v>
      </x:c>
      <x:c r="C43" s="5" t="str">
        <x:v>发送</x:v>
      </x:c>
      <x:c r="D43" s="5" t="str">
        <x:v>双邮箱真实验收</x:v>
      </x:c>
      <x:c r="E43" s="5" t="str">
        <x:v>指定测试收件人验证真实发送；无凭据标未验证</x:v>
      </x:c>
      <x:c r="F43" s="5" t="str">
        <x:v>记录邮箱、provider ID和脱敏证据；不联系真实候选人</x:v>
      </x:c>
      <x:c r="G43" s="5" t="str">
        <x:v>P2-06、P2-09</x:v>
      </x:c>
      <x:c r="H43" s="5" t="str">
        <x:v>Must</x:v>
      </x:c>
      <x:c r="I43" s="12" t="str">
        <x:v>未开始</x:v>
      </x:c>
      <x:c r="J43" s="12" t="str">
        <x:v>未验证</x:v>
      </x:c>
      <x:c r="K43" s="12" t="str"/>
      <x:c r="L43" s="5" t="str">
        <x:v>P2</x:v>
      </x:c>
    </x:row>
    <x:row r="44" ht="64" customHeight="1">
      <x:c r="A44" s="9" t="str">
        <x:v>P3-01</x:v>
      </x:c>
      <x:c r="B44" s="11" t="n">
        <x:v>3</x:v>
      </x:c>
      <x:c r="C44" s="9" t="str">
        <x:v>收件箱</x:v>
      </x:c>
      <x:c r="D44" s="9" t="str">
        <x:v>首次与增量同步</x:v>
      </x:c>
      <x:c r="E44" s="9" t="str">
        <x:v>最近30天、分页、history 游标、轮询及手动刷新</x:v>
      </x:c>
      <x:c r="F44" s="9" t="str">
        <x:v>游标失效可恢复；旧的进行中会话持续跟踪</x:v>
      </x:c>
      <x:c r="G44" s="9" t="str">
        <x:v>P2-03</x:v>
      </x:c>
      <x:c r="H44" s="9" t="str">
        <x:v>Must</x:v>
      </x:c>
      <x:c r="I44" s="12" t="str">
        <x:v>未开始</x:v>
      </x:c>
      <x:c r="J44" s="12" t="str">
        <x:v>未验证</x:v>
      </x:c>
      <x:c r="K44" s="12" t="str"/>
      <x:c r="L44" s="9" t="str">
        <x:v>P3</x:v>
      </x:c>
    </x:row>
    <x:row r="45" ht="64" customHeight="1">
      <x:c r="A45" s="5" t="str">
        <x:v>P3-02</x:v>
      </x:c>
      <x:c r="B45" s="10" t="n">
        <x:v>3</x:v>
      </x:c>
      <x:c r="C45" s="5" t="str">
        <x:v>收件箱</x:v>
      </x:c>
      <x:c r="D45" s="5" t="str">
        <x:v>会话关联</x:v>
      </x:c>
      <x:c r="E45" s="5" t="str">
        <x:v>邮箱+provider ID 唯一；原会话消息头</x:v>
      </x:c>
      <x:c r="F45" s="5" t="str">
        <x:v>平台外收发也能同步；跨邮箱不误合并</x:v>
      </x:c>
      <x:c r="G45" s="5" t="str">
        <x:v>P3-01</x:v>
      </x:c>
      <x:c r="H45" s="5" t="str">
        <x:v>Must</x:v>
      </x:c>
      <x:c r="I45" s="12" t="str">
        <x:v>未开始</x:v>
      </x:c>
      <x:c r="J45" s="12" t="str">
        <x:v>未验证</x:v>
      </x:c>
      <x:c r="K45" s="12" t="str"/>
      <x:c r="L45" s="5" t="str">
        <x:v>P3</x:v>
      </x:c>
    </x:row>
    <x:row r="46" ht="64" customHeight="1">
      <x:c r="A46" s="9" t="str">
        <x:v>P3-03</x:v>
      </x:c>
      <x:c r="B46" s="11" t="n">
        <x:v>3</x:v>
      </x:c>
      <x:c r="C46" s="9" t="str">
        <x:v>收件箱</x:v>
      </x:c>
      <x:c r="D46" s="9" t="str">
        <x:v>三栏 Inbox</x:v>
      </x:c>
      <x:c r="E46" s="9" t="str">
        <x:v>筛选、会话列表、正文与联系人侧栏</x:v>
      </x:c>
      <x:c r="F46" s="9" t="str">
        <x:v>支持邮箱、领域、未读、待回复；未知领域不默认 Finance</x:v>
      </x:c>
      <x:c r="G46" s="9" t="str">
        <x:v>P3-02</x:v>
      </x:c>
      <x:c r="H46" s="9" t="str">
        <x:v>Must</x:v>
      </x:c>
      <x:c r="I46" s="12" t="str">
        <x:v>未开始</x:v>
      </x:c>
      <x:c r="J46" s="12" t="str">
        <x:v>未验证</x:v>
      </x:c>
      <x:c r="K46" s="12" t="str"/>
      <x:c r="L46" s="9" t="str">
        <x:v>P3</x:v>
      </x:c>
    </x:row>
    <x:row r="47" ht="64" customHeight="1">
      <x:c r="A47" s="5" t="str">
        <x:v>P3-04</x:v>
      </x:c>
      <x:c r="B47" s="10" t="n">
        <x:v>3</x:v>
      </x:c>
      <x:c r="C47" s="5" t="str">
        <x:v>收件箱</x:v>
      </x:c>
      <x:c r="D47" s="5" t="str">
        <x:v>原会话回复</x:v>
      </x:c>
      <x:c r="E47" s="5" t="str">
        <x:v>复用草稿和发送；threadId及回复头</x:v>
      </x:c>
      <x:c r="F47" s="5" t="str">
        <x:v>真实收件端显示在目标会话；不拼成新会话</x:v>
      </x:c>
      <x:c r="G47" s="5" t="str">
        <x:v>P3-03、P2-07</x:v>
      </x:c>
      <x:c r="H47" s="5" t="str">
        <x:v>Must</x:v>
      </x:c>
      <x:c r="I47" s="12" t="str">
        <x:v>未开始</x:v>
      </x:c>
      <x:c r="J47" s="12" t="str">
        <x:v>未验证</x:v>
      </x:c>
      <x:c r="K47" s="12" t="str"/>
      <x:c r="L47" s="5" t="str">
        <x:v>P3</x:v>
      </x:c>
    </x:row>
    <x:row r="48" ht="64" customHeight="1">
      <x:c r="A48" s="9" t="str">
        <x:v>P3-05</x:v>
      </x:c>
      <x:c r="B48" s="11" t="n">
        <x:v>3</x:v>
      </x:c>
      <x:c r="C48" s="9" t="str">
        <x:v>收件箱</x:v>
      </x:c>
      <x:c r="D48" s="9" t="str">
        <x:v>已读归档与备注</x:v>
      </x:c>
      <x:c r="E48" s="9" t="str">
        <x:v>已读/归档同步 Gmail；意向/备注留平台</x:v>
      </x:c>
      <x:c r="F48" s="9" t="str">
        <x:v>外部状态和内部字段边界可验证</x:v>
      </x:c>
      <x:c r="G48" s="9" t="str">
        <x:v>P3-03</x:v>
      </x:c>
      <x:c r="H48" s="9" t="str">
        <x:v>Must</x:v>
      </x:c>
      <x:c r="I48" s="12" t="str">
        <x:v>未开始</x:v>
      </x:c>
      <x:c r="J48" s="12" t="str">
        <x:v>未验证</x:v>
      </x:c>
      <x:c r="K48" s="12" t="str"/>
      <x:c r="L48" s="9" t="str">
        <x:v>P3</x:v>
      </x:c>
    </x:row>
    <x:row r="49" ht="64" customHeight="1">
      <x:c r="A49" s="5" t="str">
        <x:v>P3-06</x:v>
      </x:c>
      <x:c r="B49" s="10" t="n">
        <x:v>3</x:v>
      </x:c>
      <x:c r="C49" s="5" t="str">
        <x:v>收件箱</x:v>
      </x:c>
      <x:c r="D49" s="5" t="str">
        <x:v>回复保护</x:v>
      </x:c>
      <x:c r="E49" s="5" t="str">
        <x:v>新回复暂停已有待发任务，区分自动/人工/未知</x:v>
      </x:c>
      <x:c r="F49" s="5" t="str">
        <x:v>暂停有原因；不生成任何下一封；人工确认后可继续</x:v>
      </x:c>
      <x:c r="G49" s="5" t="str">
        <x:v>P3-02、P2-08</x:v>
      </x:c>
      <x:c r="H49" s="5" t="str">
        <x:v>Must</x:v>
      </x:c>
      <x:c r="I49" s="12" t="str">
        <x:v>未开始</x:v>
      </x:c>
      <x:c r="J49" s="12" t="str">
        <x:v>未验证</x:v>
      </x:c>
      <x:c r="K49" s="12" t="str"/>
      <x:c r="L49" s="5" t="str">
        <x:v>P3</x:v>
      </x:c>
    </x:row>
    <x:row r="50" ht="64" customHeight="1">
      <x:c r="A50" s="9" t="str">
        <x:v>P3-07</x:v>
      </x:c>
      <x:c r="B50" s="11" t="n">
        <x:v>3</x:v>
      </x:c>
      <x:c r="C50" s="9" t="str">
        <x:v>收件箱</x:v>
      </x:c>
      <x:c r="D50" s="9" t="str">
        <x:v>退信拒绝和退订</x:v>
      </x:c>
      <x:c r="E50" s="9" t="str">
        <x:v>地址级硬退信及工作区 suppression；退订入口</x:v>
      </x:c>
      <x:c r="F50" s="9" t="str">
        <x:v>同工作区换邮箱仍受限；不把模糊自然语言当准确判定</x:v>
      </x:c>
      <x:c r="G50" s="9" t="str">
        <x:v>P3-02、P2-11</x:v>
      </x:c>
      <x:c r="H50" s="9" t="str">
        <x:v>Must</x:v>
      </x:c>
      <x:c r="I50" s="12" t="str">
        <x:v>未开始</x:v>
      </x:c>
      <x:c r="J50" s="12" t="str">
        <x:v>未验证</x:v>
      </x:c>
      <x:c r="K50" s="12" t="str"/>
      <x:c r="L50" s="9" t="str">
        <x:v>P3</x:v>
      </x:c>
    </x:row>
    <x:row r="51" ht="64" customHeight="1">
      <x:c r="A51" s="5" t="str">
        <x:v>P3-08</x:v>
      </x:c>
      <x:c r="B51" s="10" t="n">
        <x:v>3</x:v>
      </x:c>
      <x:c r="C51" s="5" t="str">
        <x:v>手动跟进</x:v>
      </x:c>
      <x:c r="D51" s="5" t="str">
        <x:v>跟进任务</x:v>
      </x:c>
      <x:c r="E51" s="5" t="str">
        <x:v>联系人/会话、时间、备注、完成/改期/取消</x:v>
      </x:c>
      <x:c r="F51" s="5" t="str">
        <x:v>到期只在平台提醒，不发邮件</x:v>
      </x:c>
      <x:c r="G51" s="5" t="str">
        <x:v>P3-03</x:v>
      </x:c>
      <x:c r="H51" s="5" t="str">
        <x:v>Must</x:v>
      </x:c>
      <x:c r="I51" s="12" t="str">
        <x:v>未开始</x:v>
      </x:c>
      <x:c r="J51" s="12" t="str">
        <x:v>未验证</x:v>
      </x:c>
      <x:c r="K51" s="12" t="str"/>
      <x:c r="L51" s="5" t="str">
        <x:v>P3</x:v>
      </x:c>
    </x:row>
    <x:row r="52" ht="64" customHeight="1">
      <x:c r="A52" s="9" t="str">
        <x:v>P3-09</x:v>
      </x:c>
      <x:c r="B52" s="11" t="n">
        <x:v>3</x:v>
      </x:c>
      <x:c r="C52" s="9" t="str">
        <x:v>手动跟进</x:v>
      </x:c>
      <x:c r="D52" s="9" t="str">
        <x:v>主动跟进写作</x:v>
      </x:c>
      <x:c r="E52" s="9" t="str">
        <x:v>用户点击任务进入原会话，选择模板/AI，再确认发送</x:v>
      </x:c>
      <x:c r="F52" s="9" t="str">
        <x:v>必须有用户动作；不会由到期事件自动排期</x:v>
      </x:c>
      <x:c r="G52" s="9" t="str">
        <x:v>P3-08、P3-04</x:v>
      </x:c>
      <x:c r="H52" s="9" t="str">
        <x:v>Must</x:v>
      </x:c>
      <x:c r="I52" s="12" t="str">
        <x:v>未开始</x:v>
      </x:c>
      <x:c r="J52" s="12" t="str">
        <x:v>未验证</x:v>
      </x:c>
      <x:c r="K52" s="12" t="str"/>
      <x:c r="L52" s="9" t="str">
        <x:v>P3</x:v>
      </x:c>
    </x:row>
    <x:row r="53" ht="64" customHeight="1">
      <x:c r="A53" s="5" t="str">
        <x:v>P3-10</x:v>
      </x:c>
      <x:c r="B53" s="10" t="n">
        <x:v>3</x:v>
      </x:c>
      <x:c r="C53" s="5" t="str">
        <x:v>手动跟进</x:v>
      </x:c>
      <x:c r="D53" s="5" t="str">
        <x:v>同步异常可见</x:v>
      </x:c>
      <x:c r="E53" s="5" t="str">
        <x:v>最后同步时间、断连、限流和失败提示</x:v>
      </x:c>
      <x:c r="F53" s="5" t="str">
        <x:v>同步失败暂停相关未发跟进草稿排期检查</x:v>
      </x:c>
      <x:c r="G53" s="5" t="str">
        <x:v>P3-01</x:v>
      </x:c>
      <x:c r="H53" s="5" t="str">
        <x:v>Must</x:v>
      </x:c>
      <x:c r="I53" s="12" t="str">
        <x:v>未开始</x:v>
      </x:c>
      <x:c r="J53" s="12" t="str">
        <x:v>未验证</x:v>
      </x:c>
      <x:c r="K53" s="12" t="str"/>
      <x:c r="L53" s="5" t="str">
        <x:v>P3</x:v>
      </x:c>
    </x:row>
    <x:row r="54" ht="64" customHeight="1">
      <x:c r="A54" s="9" t="str">
        <x:v>P3-11</x:v>
      </x:c>
      <x:c r="B54" s="11" t="n">
        <x:v>3</x:v>
      </x:c>
      <x:c r="C54" s="9" t="str">
        <x:v>手动跟进</x:v>
      </x:c>
      <x:c r="D54" s="9" t="str">
        <x:v>回复闭环验收</x:v>
      </x:c>
      <x:c r="E54" s="9" t="str">
        <x:v>指定邮箱真实回复和未知状态样例</x:v>
      </x:c>
      <x:c r="F54" s="9" t="str">
        <x:v>收件端回复到 Inbox；已排期消息受保护</x:v>
      </x:c>
      <x:c r="G54" s="9" t="str">
        <x:v>P3-06、P3-09</x:v>
      </x:c>
      <x:c r="H54" s="9" t="str">
        <x:v>Must</x:v>
      </x:c>
      <x:c r="I54" s="12" t="str">
        <x:v>未开始</x:v>
      </x:c>
      <x:c r="J54" s="12" t="str">
        <x:v>未验证</x:v>
      </x:c>
      <x:c r="K54" s="12" t="str"/>
      <x:c r="L54" s="9" t="str">
        <x:v>P3</x:v>
      </x:c>
    </x:row>
    <x:row r="55" ht="64" customHeight="1">
      <x:c r="A55" s="5" t="str">
        <x:v>P4-01</x:v>
      </x:c>
      <x:c r="B55" s="10" t="n">
        <x:v>4</x:v>
      </x:c>
      <x:c r="C55" s="5" t="str">
        <x:v>批量与完善</x:v>
      </x:c>
      <x:c r="D55" s="5" t="str">
        <x:v>模板和 Snippet 管理</x:v>
      </x:c>
      <x:c r="E55" s="5" t="str">
        <x:v>分类、创建/编辑、版本；Academic 示例标记</x:v>
      </x:c>
      <x:c r="F55" s="5" t="str">
        <x:v>旧的已批准邮件不随模板变化</x:v>
      </x:c>
      <x:c r="G55" s="5" t="str">
        <x:v>P1-24</x:v>
      </x:c>
      <x:c r="H55" s="5" t="str">
        <x:v>Must</x:v>
      </x:c>
      <x:c r="I55" s="12" t="str">
        <x:v>未开始</x:v>
      </x:c>
      <x:c r="J55" s="12" t="str">
        <x:v>未验证</x:v>
      </x:c>
      <x:c r="K55" s="12" t="str"/>
      <x:c r="L55" s="5" t="str">
        <x:v>P4</x:v>
      </x:c>
    </x:row>
    <x:row r="56" ht="64" customHeight="1">
      <x:c r="A56" s="9" t="str">
        <x:v>P4-02</x:v>
      </x:c>
      <x:c r="B56" s="11" t="n">
        <x:v>4</x:v>
      </x:c>
      <x:c r="C56" s="9" t="str">
        <x:v>批量与完善</x:v>
      </x:c>
      <x:c r="D56" s="9" t="str">
        <x:v>批量活动</x:v>
      </x:c>
      <x:c r="E56" s="9" t="str">
        <x:v>名单、逐人内容、邮箱、时间和用户批准记录</x:v>
      </x:c>
      <x:c r="F56" s="9" t="str">
        <x:v>Campaign 无步骤/自动序列；逐人独立 To</x:v>
      </x:c>
      <x:c r="G56" s="9" t="str">
        <x:v>P2-09、P3-06</x:v>
      </x:c>
      <x:c r="H56" s="9" t="str">
        <x:v>Must</x:v>
      </x:c>
      <x:c r="I56" s="12" t="str">
        <x:v>未开始</x:v>
      </x:c>
      <x:c r="J56" s="12" t="str">
        <x:v>未验证</x:v>
      </x:c>
      <x:c r="K56" s="12" t="str"/>
      <x:c r="L56" s="9" t="str">
        <x:v>P4</x:v>
      </x:c>
    </x:row>
    <x:row r="57" ht="64" customHeight="1">
      <x:c r="A57" s="5" t="str">
        <x:v>P4-03</x:v>
      </x:c>
      <x:c r="B57" s="10" t="n">
        <x:v>4</x:v>
      </x:c>
      <x:c r="C57" s="5" t="str">
        <x:v>批量与完善</x:v>
      </x:c>
      <x:c r="D57" s="5" t="str">
        <x:v>批量预检</x:v>
      </x:c>
      <x:c r="E57" s="5" t="str">
        <x:v>变量、重复、邮箱、屏蔽、附件与窗口汇总</x:v>
      </x:c>
      <x:c r="F57" s="5" t="str">
        <x:v>异常联系人可明确排除；不静默跳过</x:v>
      </x:c>
      <x:c r="G57" s="5" t="str">
        <x:v>P4-02</x:v>
      </x:c>
      <x:c r="H57" s="5" t="str">
        <x:v>Must</x:v>
      </x:c>
      <x:c r="I57" s="12" t="str">
        <x:v>未开始</x:v>
      </x:c>
      <x:c r="J57" s="12" t="str">
        <x:v>未验证</x:v>
      </x:c>
      <x:c r="K57" s="12" t="str"/>
      <x:c r="L57" s="5" t="str">
        <x:v>P4</x:v>
      </x:c>
    </x:row>
    <x:row r="58" ht="64" customHeight="1">
      <x:c r="A58" s="9" t="str">
        <x:v>P4-04</x:v>
      </x:c>
      <x:c r="B58" s="11" t="n">
        <x:v>4</x:v>
      </x:c>
      <x:c r="C58" s="9" t="str">
        <x:v>批量与完善</x:v>
      </x:c>
      <x:c r="D58" s="9" t="str">
        <x:v>活动控制</x:v>
      </x:c>
      <x:c r="E58" s="9" t="str">
        <x:v>暂停/恢复/终止、单人退出、进度</x:v>
      </x:c>
      <x:c r="F58" s="9" t="str">
        <x:v>恢复重算窗口；不瞬间补发；重复启动不重复发</x:v>
      </x:c>
      <x:c r="G58" s="9" t="str">
        <x:v>P4-03</x:v>
      </x:c>
      <x:c r="H58" s="9" t="str">
        <x:v>Must</x:v>
      </x:c>
      <x:c r="I58" s="12" t="str">
        <x:v>未开始</x:v>
      </x:c>
      <x:c r="J58" s="12" t="str">
        <x:v>未验证</x:v>
      </x:c>
      <x:c r="K58" s="12" t="str"/>
      <x:c r="L58" s="9" t="str">
        <x:v>P4</x:v>
      </x:c>
    </x:row>
    <x:row r="59" ht="64" customHeight="1">
      <x:c r="A59" s="5" t="str">
        <x:v>P4-05</x:v>
      </x:c>
      <x:c r="B59" s="10" t="n">
        <x:v>4</x:v>
      </x:c>
      <x:c r="C59" s="5" t="str">
        <x:v>批量与完善</x:v>
      </x:c>
      <x:c r="D59" s="5" t="str">
        <x:v>基础 Analytics</x:v>
      </x:c>
      <x:c r="E59" s="5" t="str">
        <x:v>正式发送邮件数/人数、人工回复、退信、退订</x:v>
      </x:c>
      <x:c r="F59" s="5" t="str">
        <x:v>分母、时间、去重有说明；测试和Mock分开</x:v>
      </x:c>
      <x:c r="G59" s="5" t="str">
        <x:v>P4-02、P3-07</x:v>
      </x:c>
      <x:c r="H59" s="5" t="str">
        <x:v>Must</x:v>
      </x:c>
      <x:c r="I59" s="12" t="str">
        <x:v>未开始</x:v>
      </x:c>
      <x:c r="J59" s="12" t="str">
        <x:v>未验证</x:v>
      </x:c>
      <x:c r="K59" s="12" t="str"/>
      <x:c r="L59" s="5" t="str">
        <x:v>P4</x:v>
      </x:c>
    </x:row>
    <x:row r="60" ht="64" customHeight="1">
      <x:c r="A60" s="9" t="str">
        <x:v>P4-06</x:v>
      </x:c>
      <x:c r="B60" s="11" t="n">
        <x:v>4</x:v>
      </x:c>
      <x:c r="C60" s="9" t="str">
        <x:v>批量与完善</x:v>
      </x:c>
      <x:c r="D60" s="9" t="str">
        <x:v>设置与维护</x:v>
      </x:c>
      <x:c r="E60" s="9" t="str">
        <x:v>整合画像、邮箱和 AI 配置；导出/删除受控数据</x:v>
      </x:c>
      <x:c r="F60" s="9" t="str">
        <x:v>不展示密钥；删除与保留 suppression 的含义明确</x:v>
      </x:c>
      <x:c r="G60" s="9" t="str">
        <x:v>P2-01、P4-05</x:v>
      </x:c>
      <x:c r="H60" s="9" t="str">
        <x:v>Must</x:v>
      </x:c>
      <x:c r="I60" s="12" t="str">
        <x:v>未开始</x:v>
      </x:c>
      <x:c r="J60" s="12" t="str">
        <x:v>未验证</x:v>
      </x:c>
      <x:c r="K60" s="12" t="str"/>
      <x:c r="L60" s="9" t="str">
        <x:v>P4</x:v>
      </x:c>
    </x:row>
    <x:row r="61" ht="64" customHeight="1">
      <x:c r="A61" s="5" t="str">
        <x:v>P4-07</x:v>
      </x:c>
      <x:c r="B61" s="10" t="n">
        <x:v>4</x:v>
      </x:c>
      <x:c r="C61" s="5" t="str">
        <x:v>批量与完善</x:v>
      </x:c>
      <x:c r="D61" s="5" t="str">
        <x:v>Academic 契约</x:v>
      </x:c>
      <x:c r="E61" s="5" t="str">
        <x:v>Persona/Mentor 结构、Provider 搜索/详情/分页/错误契约</x:v>
      </x:c>
      <x:c r="F61" s="5" t="str">
        <x:v>JSONL/SQLite/Postgres/External 仅骨架；返回未实现</x:v>
      </x:c>
      <x:c r="G61" s="5" t="str">
        <x:v>P1-05、P1-15</x:v>
      </x:c>
      <x:c r="H61" s="5" t="str">
        <x:v>Must</x:v>
      </x:c>
      <x:c r="I61" s="12" t="str">
        <x:v>未开始</x:v>
      </x:c>
      <x:c r="J61" s="12" t="str">
        <x:v>未验证</x:v>
      </x:c>
      <x:c r="K61" s="12" t="str"/>
      <x:c r="L61" s="5" t="str">
        <x:v>P4</x:v>
      </x:c>
    </x:row>
    <x:row r="62" ht="64" customHeight="1">
      <x:c r="A62" s="9" t="str">
        <x:v>P4-08</x:v>
      </x:c>
      <x:c r="B62" s="11" t="n">
        <x:v>4</x:v>
      </x:c>
      <x:c r="C62" s="9" t="str">
        <x:v>批量与完善</x:v>
      </x:c>
      <x:c r="D62" s="9" t="str">
        <x:v>整体回归与上线清单</x:v>
      </x:c>
      <x:c r="E62" s="9" t="str">
        <x:v>验证四期功能；外部审核、备份、监控单独标记</x:v>
      </x:c>
      <x:c r="F62" s="9" t="str">
        <x:v>不得将文档/演示制作完成写成产品开发完成</x:v>
      </x:c>
      <x:c r="G62" s="9" t="str">
        <x:v>P4-01至P4-07</x:v>
      </x:c>
      <x:c r="H62" s="9" t="str">
        <x:v>Must</x:v>
      </x:c>
      <x:c r="I62" s="12" t="str">
        <x:v>未开始</x:v>
      </x:c>
      <x:c r="J62" s="12" t="str">
        <x:v>未验证</x:v>
      </x:c>
      <x:c r="K62" s="12" t="str"/>
      <x:c r="L62" s="9" t="str">
        <x:v>P4</x:v>
      </x:c>
    </x:row>
    <x:row r="63" ht="64" customHeight="1">
      <x:c r="A63" s="5" t="str">
        <x:v>SOON-01</x:v>
      </x:c>
      <x:c r="B63" s="10" t="str">
        <x:v>Soon</x:v>
      </x:c>
      <x:c r="C63" s="5" t="str">
        <x:v>管理员后端</x:v>
      </x:c>
      <x:c r="D63" s="5" t="str">
        <x:v>运行概览</x:v>
      </x:c>
      <x:c r="E63" s="5" t="str">
        <x:v>用户、邮箱故障、排队和失败任务汇总，支持下钻</x:v>
      </x:c>
      <x:c r="F63" s="5" t="str">
        <x:v>汇总可追溯原始事件，空数据不伪造健康指标</x:v>
      </x:c>
      <x:c r="G63" s="5" t="str">
        <x:v>正式账户与平台角色；对应业务模块已实现</x:v>
      </x:c>
      <x:c r="H63" s="5" t="str">
        <x:v>Should</x:v>
      </x:c>
      <x:c r="I63" s="12" t="str">
        <x:v>未开始</x:v>
      </x:c>
      <x:c r="J63" s="12" t="str">
        <x:v>未验证</x:v>
      </x:c>
      <x:c r="K63" s="12" t="str"/>
      <x:c r="L63" s="5" t="str">
        <x:v>Soon 待定</x:v>
      </x:c>
    </x:row>
    <x:row r="64" ht="64" customHeight="1">
      <x:c r="A64" s="9" t="str">
        <x:v>SOON-02</x:v>
      </x:c>
      <x:c r="B64" s="11" t="str">
        <x:v>Soon</x:v>
      </x:c>
      <x:c r="C64" s="9" t="str">
        <x:v>管理员后端</x:v>
      </x:c>
      <x:c r="D64" s="9" t="str">
        <x:v>用户管理</x:v>
      </x:c>
      <x:c r="E64" s="9" t="str">
        <x:v>查询账户与工作区状态，停用和恢复账户</x:v>
      </x:c>
      <x:c r="F64" s="9" t="str">
        <x:v>停用阻止新发送；恢复不自动恢复已暂停任务</x:v>
      </x:c>
      <x:c r="G64" s="9" t="str">
        <x:v>正式账户与平台角色；对应业务模块已实现</x:v>
      </x:c>
      <x:c r="H64" s="9" t="str">
        <x:v>Should</x:v>
      </x:c>
      <x:c r="I64" s="12" t="str">
        <x:v>未开始</x:v>
      </x:c>
      <x:c r="J64" s="12" t="str">
        <x:v>未验证</x:v>
      </x:c>
      <x:c r="K64" s="12" t="str"/>
      <x:c r="L64" s="9" t="str">
        <x:v>Soon 待定</x:v>
      </x:c>
    </x:row>
    <x:row r="65" ht="64" customHeight="1">
      <x:c r="A65" s="5" t="str">
        <x:v>SOON-03</x:v>
      </x:c>
      <x:c r="B65" s="10" t="str">
        <x:v>Soon</x:v>
      </x:c>
      <x:c r="C65" s="5" t="str">
        <x:v>管理员后端</x:v>
      </x:c>
      <x:c r="D65" s="5" t="str">
        <x:v>邮箱连接</x:v>
      </x:c>
      <x:c r="E65" s="5" t="str">
        <x:v>查看归属、授权状态、同步错误；暂停相关任务</x:v>
      </x:c>
      <x:c r="F65" s="5" t="str">
        <x:v>不显示 Token；重新授权由邮箱所有者完成</x:v>
      </x:c>
      <x:c r="G65" s="5" t="str">
        <x:v>正式账户与平台角色；对应业务模块已实现</x:v>
      </x:c>
      <x:c r="H65" s="5" t="str">
        <x:v>Should</x:v>
      </x:c>
      <x:c r="I65" s="12" t="str">
        <x:v>未开始</x:v>
      </x:c>
      <x:c r="J65" s="12" t="str">
        <x:v>未验证</x:v>
      </x:c>
      <x:c r="K65" s="12" t="str"/>
      <x:c r="L65" s="5" t="str">
        <x:v>Soon 待定</x:v>
      </x:c>
    </x:row>
    <x:row r="66" ht="64" customHeight="1">
      <x:c r="A66" s="9" t="str">
        <x:v>SOON-04</x:v>
      </x:c>
      <x:c r="B66" s="11" t="str">
        <x:v>Soon</x:v>
      </x:c>
      <x:c r="C66" s="9" t="str">
        <x:v>管理员后端</x:v>
      </x:c>
      <x:c r="D66" s="9" t="str">
        <x:v>发送任务</x:v>
      </x:c>
      <x:c r="E66" s="9" t="str">
        <x:v>筛选排队、定时、失败与 unknown 任务；暂停和取消</x:v>
      </x:c>
      <x:c r="F66" s="9" t="str">
        <x:v>unknown 先核对结果，不提供盲目重发</x:v>
      </x:c>
      <x:c r="G66" s="9" t="str">
        <x:v>正式账户与平台角色；对应业务模块已实现</x:v>
      </x:c>
      <x:c r="H66" s="9" t="str">
        <x:v>Should</x:v>
      </x:c>
      <x:c r="I66" s="12" t="str">
        <x:v>未开始</x:v>
      </x:c>
      <x:c r="J66" s="12" t="str">
        <x:v>未验证</x:v>
      </x:c>
      <x:c r="K66" s="12" t="str"/>
      <x:c r="L66" s="9" t="str">
        <x:v>Soon 待定</x:v>
      </x:c>
    </x:row>
    <x:row r="67" ht="64" customHeight="1">
      <x:c r="A67" s="5" t="str">
        <x:v>SOON-05</x:v>
      </x:c>
      <x:c r="B67" s="10" t="str">
        <x:v>Soon</x:v>
      </x:c>
      <x:c r="C67" s="5" t="str">
        <x:v>管理员后端</x:v>
      </x:c>
      <x:c r="D67" s="5" t="str">
        <x:v>服务与 AI 配置</x:v>
      </x:c>
      <x:c r="E67" s="5" t="str">
        <x:v>管理提供商连接、模型、额度、超时及重试参数</x:v>
      </x:c>
      <x:c r="F67" s="5" t="str">
        <x:v>密钥只写不回显，变更可审计</x:v>
      </x:c>
      <x:c r="G67" s="5" t="str">
        <x:v>正式账户与平台角色；对应业务模块已实现</x:v>
      </x:c>
      <x:c r="H67" s="5" t="str">
        <x:v>Should</x:v>
      </x:c>
      <x:c r="I67" s="12" t="str">
        <x:v>未开始</x:v>
      </x:c>
      <x:c r="J67" s="12" t="str">
        <x:v>未验证</x:v>
      </x:c>
      <x:c r="K67" s="12" t="str"/>
      <x:c r="L67" s="5" t="str">
        <x:v>Soon 待定</x:v>
      </x:c>
    </x:row>
    <x:row r="68" ht="64" customHeight="1">
      <x:c r="A68" s="9" t="str">
        <x:v>SOON-06</x:v>
      </x:c>
      <x:c r="B68" s="11" t="str">
        <x:v>Soon</x:v>
      </x:c>
      <x:c r="C68" s="9" t="str">
        <x:v>管理员后端</x:v>
      </x:c>
      <x:c r="D68" s="9" t="str">
        <x:v>同步任务</x:v>
      </x:c>
      <x:c r="E68" s="9" t="str">
        <x:v>查看同步游标、延迟与错误，执行受控恢复</x:v>
      </x:c>
      <x:c r="F68" s="9" t="str">
        <x:v>恢复保留去重和会话关联，不制造重复消息</x:v>
      </x:c>
      <x:c r="G68" s="9" t="str">
        <x:v>正式账户与平台角色；对应业务模块已实现</x:v>
      </x:c>
      <x:c r="H68" s="9" t="str">
        <x:v>Should</x:v>
      </x:c>
      <x:c r="I68" s="12" t="str">
        <x:v>未开始</x:v>
      </x:c>
      <x:c r="J68" s="12" t="str">
        <x:v>未验证</x:v>
      </x:c>
      <x:c r="K68" s="12" t="str"/>
      <x:c r="L68" s="9" t="str">
        <x:v>Soon 待定</x:v>
      </x:c>
    </x:row>
    <x:row r="69" ht="64" customHeight="1">
      <x:c r="A69" s="5" t="str">
        <x:v>SOON-07</x:v>
      </x:c>
      <x:c r="B69" s="10" t="str">
        <x:v>Soon</x:v>
      </x:c>
      <x:c r="C69" s="5" t="str">
        <x:v>管理员后端</x:v>
      </x:c>
      <x:c r="D69" s="5" t="str">
        <x:v>平台模板与提示词</x:v>
      </x:c>
      <x:c r="E69" s="5" t="str">
        <x:v>测试、发布和回滚平台模板及 AI 提示词版本</x:v>
      </x:c>
      <x:c r="F69" s="5" t="str">
        <x:v>新版本不改变已批准邮件的内容快照</x:v>
      </x:c>
      <x:c r="G69" s="5" t="str">
        <x:v>正式账户与平台角色；对应业务模块已实现</x:v>
      </x:c>
      <x:c r="H69" s="5" t="str">
        <x:v>Should</x:v>
      </x:c>
      <x:c r="I69" s="12" t="str">
        <x:v>未开始</x:v>
      </x:c>
      <x:c r="J69" s="12" t="str">
        <x:v>未验证</x:v>
      </x:c>
      <x:c r="K69" s="12" t="str"/>
      <x:c r="L69" s="5" t="str">
        <x:v>Soon 待定</x:v>
      </x:c>
    </x:row>
    <x:row r="70" ht="64" customHeight="1">
      <x:c r="A70" s="9" t="str">
        <x:v>SOON-08</x:v>
      </x:c>
      <x:c r="B70" s="11" t="str">
        <x:v>Soon</x:v>
      </x:c>
      <x:c r="C70" s="9" t="str">
        <x:v>管理员后端</x:v>
      </x:c>
      <x:c r="D70" s="9" t="str">
        <x:v>用量与成本</x:v>
      </x:c>
      <x:c r="E70" s="9" t="str">
        <x:v>按用户、日期及提供商查看调用量和成本</x:v>
      </x:c>
      <x:c r="F70" s="9" t="str">
        <x:v>实测用量、估算成本和账单分别标明</x:v>
      </x:c>
      <x:c r="G70" s="9" t="str">
        <x:v>正式账户与平台角色；对应业务模块已实现</x:v>
      </x:c>
      <x:c r="H70" s="9" t="str">
        <x:v>Should</x:v>
      </x:c>
      <x:c r="I70" s="12" t="str">
        <x:v>未开始</x:v>
      </x:c>
      <x:c r="J70" s="12" t="str">
        <x:v>未验证</x:v>
      </x:c>
      <x:c r="K70" s="12" t="str"/>
      <x:c r="L70" s="9" t="str">
        <x:v>Soon 待定</x:v>
      </x:c>
    </x:row>
    <x:row r="71" ht="64" customHeight="1">
      <x:c r="A71" s="5" t="str">
        <x:v>SOON-09</x:v>
      </x:c>
      <x:c r="B71" s="10" t="str">
        <x:v>Soon</x:v>
      </x:c>
      <x:c r="C71" s="5" t="str">
        <x:v>管理员后端</x:v>
      </x:c>
      <x:c r="D71" s="5" t="str">
        <x:v>审计与平台设置</x:v>
      </x:c>
      <x:c r="E71" s="5" t="str">
        <x:v>查询管理操作日志，管理默认限制与功能开关</x:v>
      </x:c>
      <x:c r="F71" s="5" t="str">
        <x:v>服务端校验平台管理员身份；操作记录操作者、时间和原因</x:v>
      </x:c>
      <x:c r="G71" s="5" t="str">
        <x:v>正式账户与平台角色；对应业务模块已实现</x:v>
      </x:c>
      <x:c r="H71" s="5" t="str">
        <x:v>Should</x:v>
      </x:c>
      <x:c r="I71" s="12" t="str">
        <x:v>未开始</x:v>
      </x:c>
      <x:c r="J71" s="12" t="str">
        <x:v>未验证</x:v>
      </x:c>
      <x:c r="K71" s="12" t="str"/>
      <x:c r="L71" s="5" t="str">
        <x:v>Soon 待定</x:v>
      </x:c>
    </x:row>
  </x:sheetData>
  <x:conditionalFormatting sqref="I5:I71">
    <x:cfRule type="containsText" dxfId="0" priority="1" operator="containsText" text="已完成"/>
    <x:cfRule type="containsText" dxfId="1" priority="2" operator="containsText" text="阻塞"/>
  </x:conditionalFormatting>
  <x:dataValidations count="4">
    <x:dataValidation type="list" sqref="B5:B71">
      <x:formula1>"1,2,3,4,Soon"</x:formula1>
    </x:dataValidation>
    <x:dataValidation type="list" sqref="H5:H71">
      <x:formula1>"Must,Should,Could"</x:formula1>
    </x:dataValidation>
    <x:dataValidation type="list" sqref="I5:I71">
      <x:formula1>"未开始,开发中,已完成,阻塞"</x:formula1>
    </x:dataValidation>
    <x:dataValidation type="list" sqref="J5:J71">
      <x:formula1>"未验证,Mock验证,真实验证,不适用"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1fd1f626f64c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8" hidden="0" customWidth="1"/>
    <x:col min="5" max="5" width="45" hidden="0" customWidth="1"/>
    <x:col min="6" max="6" width="22" hidden="0" customWidth="1"/>
  </x:cols>
  <x:sheetData>
    <x:row r="1" ht="30" customHeight="1">
      <x:c r="A1" s="2" t="str">
        <x:v>AI写作交互与状态</x:v>
      </x:c>
      <x:c r="B1" s="1"/>
      <x:c r="C1" s="1"/>
      <x:c r="D1" s="1"/>
      <x:c r="E1" s="1"/>
      <x:c r="F1" s="1"/>
    </x:row>
    <x:row r="2" ht="28" customHeight="1">
      <x:c r="A2" s="3" t="str">
        <x:v>输入、用户动作、输出和需求ID对应详细设计第03至07节。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8" t="str">
        <x:v>步骤ID</x:v>
      </x:c>
      <x:c r="B4" s="8" t="str">
        <x:v>交互</x:v>
      </x:c>
      <x:c r="C4" s="8" t="str">
        <x:v>输入</x:v>
      </x:c>
      <x:c r="D4" s="8" t="str">
        <x:v>动作与规则</x:v>
      </x:c>
      <x:c r="E4" s="8" t="str">
        <x:v>输出</x:v>
      </x:c>
      <x:c r="F4" s="8" t="str">
        <x:v>需求ID</x:v>
      </x:c>
    </x:row>
    <x:row r="5" ht="64" customHeight="1">
      <x:c r="A5" s="5" t="str">
        <x:v>W01</x:v>
      </x:c>
      <x:c r="B5" s="5" t="str">
        <x:v>设置 Brief</x:v>
      </x:c>
      <x:c r="C5" s="5" t="str">
        <x:v>Persona 版本、联系人、目的、CTA、语气、语言、长度</x:v>
      </x:c>
      <x:c r="D5" s="5" t="str">
        <x:v>保存写作意图，未选画像仍可手写</x:v>
      </x:c>
      <x:c r="E5" s="5" t="str">
        <x:v>可生成或待补充背景</x:v>
      </x:c>
      <x:c r="F5" s="5" t="str">
        <x:v>P1-16</x:v>
      </x:c>
    </x:row>
    <x:row r="6" ht="64" customHeight="1">
      <x:c r="A6" s="9" t="str">
        <x:v>W02</x:v>
      </x:c>
      <x:c r="B6" s="9" t="str">
        <x:v>挑选证据</x:v>
      </x:c>
      <x:c r="C6" s="9" t="str">
        <x:v>confirmed / inferred / unknown / conflict；fact_id、来源</x:v>
      </x:c>
      <x:c r="D6" s="9" t="str">
        <x:v>默认仅建议 confirmed；用户可取消事实</x:v>
      </x:c>
      <x:c r="E6" s="9" t="str">
        <x:v>allowed_fact_ids 与待确认事实</x:v>
      </x:c>
      <x:c r="F6" s="9" t="str">
        <x:v>P1-17</x:v>
      </x:c>
    </x:row>
    <x:row r="7" ht="64" customHeight="1">
      <x:c r="A7" s="5" t="str">
        <x:v>W03</x:v>
      </x:c>
      <x:c r="B7" s="5" t="str">
        <x:v>生成建议</x:v>
      </x:c>
      <x:c r="C7" s="5" t="str">
        <x:v>Brief + 允许事实 + 当前 revision</x:v>
      </x:c>
      <x:c r="D7" s="5" t="str">
        <x:v>模型返回建议；不替换正文</x:v>
      </x:c>
      <x:c r="E7" s="5" t="str">
        <x:v>subject、body_blocks、claims、warnings</x:v>
      </x:c>
      <x:c r="F7" s="5" t="str">
        <x:v>P1-18</x:v>
      </x:c>
    </x:row>
    <x:row r="8" ht="64" customHeight="1">
      <x:c r="A8" s="9" t="str">
        <x:v>W04</x:v>
      </x:c>
      <x:c r="B8" s="9" t="str">
        <x:v>检查内容</x:v>
      </x:c>
      <x:c r="C8" s="9" t="str">
        <x:v>结构化输出、变量及引用</x:v>
      </x:c>
      <x:c r="D8" s="9" t="str">
        <x:v>确定性字段检查+模型辅助审阅；人工最终判断</x:v>
      </x:c>
      <x:c r="E8" s="9" t="str">
        <x:v>缺失、无来源陈述、长度建议</x:v>
      </x:c>
      <x:c r="F8" s="9" t="str">
        <x:v>P1-18</x:v>
      </x:c>
    </x:row>
    <x:row r="9" ht="64" customHeight="1">
      <x:c r="A9" s="5" t="str">
        <x:v>W05</x:v>
      </x:c>
      <x:c r="B9" s="5" t="str">
        <x:v>采纳或丢弃</x:v>
      </x:c>
      <x:c r="C9" s="5" t="str">
        <x:v>当前稿和建议稿</x:v>
      </x:c>
      <x:c r="D9" s="5" t="str">
        <x:v>全文比较；采纳新 revision；可撤销</x:v>
      </x:c>
      <x:c r="E9" s="5" t="str">
        <x:v>新稿或保留原稿</x:v>
      </x:c>
      <x:c r="F9" s="5" t="str">
        <x:v>P1-19</x:v>
      </x:c>
    </x:row>
    <x:row r="10" ht="64" customHeight="1">
      <x:c r="A10" s="9" t="str">
        <x:v>W06</x:v>
      </x:c>
      <x:c r="B10" s="9" t="str">
        <x:v>局部改写</x:v>
      </x:c>
      <x:c r="C10" s="9" t="str">
        <x:v>选区、base_revision、允许事实</x:v>
      </x:c>
      <x:c r="D10" s="9" t="str">
        <x:v>缩短/语气调整；无选区提示，不覆盖全文</x:v>
      </x:c>
      <x:c r="E10" s="9" t="str">
        <x:v>候选替换片段</x:v>
      </x:c>
      <x:c r="F10" s="9" t="str">
        <x:v>P1-20</x:v>
      </x:c>
    </x:row>
    <x:row r="11" ht="64" customHeight="1">
      <x:c r="A11" s="5" t="str">
        <x:v>W07</x:v>
      </x:c>
      <x:c r="B11" s="5" t="str">
        <x:v>版本冲突</x:v>
      </x:c>
      <x:c r="C11" s="5" t="str">
        <x:v>新编辑产生不同 revision</x:v>
      </x:c>
      <x:c r="D11" s="5" t="str">
        <x:v>旧建议保持可读但禁用直接应用；重新生成</x:v>
      </x:c>
      <x:c r="E11" s="5" t="str">
        <x:v>不会丢失人工编辑</x:v>
      </x:c>
      <x:c r="F11" s="5" t="str">
        <x:v>P1-20、P1-23</x:v>
      </x:c>
    </x:row>
    <x:row r="12" ht="64" customHeight="1">
      <x:c r="A12" s="9" t="str">
        <x:v>W08</x:v>
      </x:c>
      <x:c r="B12" s="9" t="str">
        <x:v>变量预览</x:v>
      </x:c>
      <x:c r="C12" s="9" t="str">
        <x:v>模板节点+联系人快照+用户字段</x:v>
      </x:c>
      <x:c r="D12" s="9" t="str">
        <x:v>必填无值阻止 Ready；默认值须明确</x:v>
      </x:c>
      <x:c r="E12" s="9" t="str">
        <x:v>最终主题/正文+missing_variables</x:v>
      </x:c>
      <x:c r="F12" s="9" t="str">
        <x:v>P1-22</x:v>
      </x:c>
    </x:row>
    <x:row r="13" ht="64" customHeight="1">
      <x:c r="A13" s="5" t="str">
        <x:v>W09</x:v>
      </x:c>
      <x:c r="B13" s="5" t="str">
        <x:v>保存恢复</x:v>
      </x:c>
      <x:c r="C13" s="5" t="str">
        <x:v>editor_json、plain_text、revision</x:v>
      </x:c>
      <x:c r="D13" s="5" t="str">
        <x:v>防抖保存；失败可重试，409 保留两份</x:v>
      </x:c>
      <x:c r="E13" s="5" t="str">
        <x:v>Saved/Unsaved/Conflict</x:v>
      </x:c>
      <x:c r="F13" s="5" t="str">
        <x:v>P1-23</x:v>
      </x:c>
    </x:row>
    <x:row r="14" ht="64" customHeight="1">
      <x:c r="A14" s="9" t="str">
        <x:v>W10</x:v>
      </x:c>
      <x:c r="B14" s="9" t="str">
        <x:v>正式批准</x:v>
      </x:c>
      <x:c r="C14" s="9" t="str">
        <x:v>二期邮件身份和内容快照</x:v>
      </x:c>
      <x:c r="D14" s="9" t="str">
        <x:v>预检并明确批准；后改稿不影响快照</x:v>
      </x:c>
      <x:c r="E14" s="9" t="str">
        <x:v>SendJob 或定时任务</x:v>
      </x:c>
      <x:c r="F14" s="9" t="str">
        <x:v>P2-05</x:v>
      </x:c>
    </x:row>
    <x:row r="15" ht="64" customHeight="1">
      <x:c r="A15" s="5" t="str">
        <x:v>W11</x:v>
      </x:c>
      <x:c r="B15" s="5" t="str">
        <x:v>人工跟进</x:v>
      </x:c>
      <x:c r="C15" s="5" t="str">
        <x:v>三期原会话和任务</x:v>
      </x:c>
      <x:c r="D15" s="5" t="str">
        <x:v>到期提醒；人点击后才写下一封</x:v>
      </x:c>
      <x:c r="E15" s="5" t="str">
        <x:v>新的人工草稿</x:v>
      </x:c>
      <x:c r="F15" s="5" t="str">
        <x:v>P3-09</x:v>
      </x:c>
    </x:row>
    <x:row r="16" ht="64" customHeight="1">
      <x:c r="A16" s="9" t="str">
        <x:v>W12</x:v>
      </x:c>
      <x:c r="B16" s="9" t="str">
        <x:v>批量逐人审阅</x:v>
      </x:c>
      <x:c r="C16" s="9" t="str">
        <x:v>四期联系人集合及逐人事实</x:v>
      </x:c>
      <x:c r="D16" s="9" t="str">
        <x:v>限定并发；逐人审阅和异常排除</x:v>
      </x:c>
      <x:c r="E16" s="9" t="str">
        <x:v>逐人内容快照</x:v>
      </x:c>
      <x:c r="F16" s="9" t="str">
        <x:v>P4-03</x:v>
      </x:c>
    </x:row>
  </x:sheetData>
  <x:pageMargins left="0.7" right="0.7" top="0.75" bottom="0.75" header="0.3" footer="0.3"/>
  <x:tableParts count="1">
    <x:tablePart xmlns:r="http://schemas.openxmlformats.org/officeDocument/2006/relationships" r:id="R67dfaf9e49894c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8" hidden="0" customWidth="1"/>
    <x:col min="4" max="4" width="37" hidden="0" customWidth="1"/>
    <x:col min="5" max="5" width="38" hidden="0" customWidth="1"/>
    <x:col min="6" max="6" width="42" hidden="0" customWidth="1"/>
    <x:col min="7" max="7" width="14" hidden="0" customWidth="1"/>
  </x:cols>
  <x:sheetData>
    <x:row r="1" ht="30" customHeight="1">
      <x:c r="A1" s="2" t="str">
        <x:v>后端接口与阶段</x:v>
      </x:c>
      <x:c r="B1" s="1"/>
      <x:c r="C1" s="1"/>
      <x:c r="D1" s="1"/>
      <x:c r="E1" s="1"/>
      <x:c r="F1" s="1"/>
      <x:c r="G1" s="1"/>
    </x:row>
    <x:row r="2" ht="28" customHeight="1">
      <x:c r="A2" s="3" t="str">
        <x:v>这里是拟议的平台接口；第三方能力需核对当前官方文档和账户权限。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8" t="str">
        <x:v>接口ID</x:v>
      </x:c>
      <x:c r="B4" s="8" t="str">
        <x:v>接口或契约</x:v>
      </x:c>
      <x:c r="C4" s="8" t="str">
        <x:v>期次</x:v>
      </x:c>
      <x:c r="D4" s="8" t="str">
        <x:v>输入</x:v>
      </x:c>
      <x:c r="E4" s="8" t="str">
        <x:v>输出</x:v>
      </x:c>
      <x:c r="F4" s="8" t="str">
        <x:v>关键约束</x:v>
      </x:c>
      <x:c r="G4" s="8" t="str">
        <x:v>需求ID</x:v>
      </x:c>
    </x:row>
    <x:row r="5" ht="64" customHeight="1">
      <x:c r="A5" s="5" t="str">
        <x:v>I01</x:v>
      </x:c>
      <x:c r="B5" s="5" t="str">
        <x:v>POST /documents</x:v>
      </x:c>
      <x:c r="C5" s="5" t="str">
        <x:v>P1</x:v>
      </x:c>
      <x:c r="D5" s="5" t="str">
        <x:v>multipart file</x:v>
      </x:c>
      <x:c r="E5" s="5" t="str">
        <x:v>document_id + status</x:v>
      </x:c>
      <x:c r="F5" s="5" t="str">
        <x:v>422 类型/大小；私有存储</x:v>
      </x:c>
      <x:c r="G5" s="5" t="str">
        <x:v>P1-06</x:v>
      </x:c>
    </x:row>
    <x:row r="6" ht="64" customHeight="1">
      <x:c r="A6" s="9" t="str">
        <x:v>I02</x:v>
      </x:c>
      <x:c r="B6" s="9" t="str">
        <x:v>POST /documents/{id}/parse</x:v>
      </x:c>
      <x:c r="C6" s="9" t="str">
        <x:v>P1</x:v>
      </x:c>
      <x:c r="D6" s="9" t="str">
        <x:v>document_id</x:v>
      </x:c>
      <x:c r="E6" s="9" t="str">
        <x:v>parsed_fields + evidence_spans</x:v>
      </x:c>
      <x:c r="F6" s="9" t="str">
        <x:v>解析任务可轮询；扫描件明确拒绝</x:v>
      </x:c>
      <x:c r="G6" s="9" t="str">
        <x:v>P1-07</x:v>
      </x:c>
    </x:row>
    <x:row r="7" ht="64" customHeight="1">
      <x:c r="A7" s="5" t="str">
        <x:v>I03</x:v>
      </x:c>
      <x:c r="B7" s="5" t="str">
        <x:v>POST /personas/{id}/versions</x:v>
      </x:c>
      <x:c r="C7" s="5" t="str">
        <x:v>P1</x:v>
      </x:c>
      <x:c r="D7" s="5" t="str">
        <x:v>用户确认字段+source_refs</x:v>
      </x:c>
      <x:c r="E7" s="5" t="str">
        <x:v>persona_version_id</x:v>
      </x:c>
      <x:c r="F7" s="5" t="str">
        <x:v>不可变版本；校验归属</x:v>
      </x:c>
      <x:c r="G7" s="5" t="str">
        <x:v>P1-07</x:v>
      </x:c>
    </x:row>
    <x:row r="8" ht="64" customHeight="1">
      <x:c r="A8" s="9" t="str">
        <x:v>I04</x:v>
      </x:c>
      <x:c r="B8" s="9" t="str">
        <x:v>POST /people/search</x:v>
      </x:c>
      <x:c r="C8" s="9" t="str">
        <x:v>P1</x:v>
      </x:c>
      <x:c r="D8" s="9" t="str">
        <x:v>filters + cursor</x:v>
      </x:c>
      <x:c r="E8" s="9" t="str">
        <x:v>people + next_cursor + capabilities</x:v>
      </x:c>
      <x:c r="F8" s="9" t="str">
        <x:v>不承诺全部高级过滤；429明确</x:v>
      </x:c>
      <x:c r="G8" s="9" t="str">
        <x:v>P1-09</x:v>
      </x:c>
    </x:row>
    <x:row r="9" ht="64" customHeight="1">
      <x:c r="A9" s="5" t="str">
        <x:v>I05</x:v>
      </x:c>
      <x:c r="B9" s="5" t="str">
        <x:v>POST /people/enrich</x:v>
      </x:c>
      <x:c r="C9" s="5" t="str">
        <x:v>P1</x:v>
      </x:c>
      <x:c r="D9" s="5" t="str">
        <x:v>provider_ids + requested_fields</x:v>
      </x:c>
      <x:c r="E9" s="5" t="str">
        <x:v>records + per_item_status</x:v>
      </x:c>
      <x:c r="F9" s="5" t="str">
        <x:v>按需有限批量；无邮箱为unknown</x:v>
      </x:c>
      <x:c r="G9" s="5" t="str">
        <x:v>P1-10</x:v>
      </x:c>
    </x:row>
    <x:row r="10" ht="64" customHeight="1">
      <x:c r="A10" s="9" t="str">
        <x:v>I06</x:v>
      </x:c>
      <x:c r="B10" s="9" t="str">
        <x:v>POST /writing/generations</x:v>
      </x:c>
      <x:c r="C10" s="9" t="str">
        <x:v>P1</x:v>
      </x:c>
      <x:c r="D10" s="9" t="str">
        <x:v>brief + fact_ids + base_revision</x:v>
      </x:c>
      <x:c r="E10" s="9" t="str">
        <x:v>generation_id + candidate + warnings</x:v>
      </x:c>
      <x:c r="F10" s="9" t="str">
        <x:v>无工具执行权限；保留输入版本</x:v>
      </x:c>
      <x:c r="G10" s="9" t="str">
        <x:v>P1-18</x:v>
      </x:c>
    </x:row>
    <x:row r="11" ht="64" customHeight="1">
      <x:c r="A11" s="5" t="str">
        <x:v>I07</x:v>
      </x:c>
      <x:c r="B11" s="5" t="str">
        <x:v>PATCH /drafts/{id}</x:v>
      </x:c>
      <x:c r="C11" s="5" t="str">
        <x:v>P1</x:v>
      </x:c>
      <x:c r="D11" s="5" t="str">
        <x:v>editor_json + expected_revision</x:v>
      </x:c>
      <x:c r="E11" s="5" t="str">
        <x:v>draft + new_revision</x:v>
      </x:c>
      <x:c r="F11" s="5" t="str">
        <x:v>409返回冲突，不静默覆盖</x:v>
      </x:c>
      <x:c r="G11" s="5" t="str">
        <x:v>P1-23</x:v>
      </x:c>
    </x:row>
    <x:row r="12" ht="64" customHeight="1">
      <x:c r="A12" s="9" t="str">
        <x:v>I08</x:v>
      </x:c>
      <x:c r="B12" s="9" t="str">
        <x:v>POST /drafts/{id}/preview</x:v>
      </x:c>
      <x:c r="C12" s="9" t="str">
        <x:v>P1</x:v>
      </x:c>
      <x:c r="D12" s="9" t="str">
        <x:v>recipient_id + revision</x:v>
      </x:c>
      <x:c r="E12" s="9" t="str">
        <x:v>rendered + missing_variables</x:v>
      </x:c>
      <x:c r="F12" s="9" t="str">
        <x:v>统一确定性变量渲染</x:v>
      </x:c>
      <x:c r="G12" s="9" t="str">
        <x:v>P1-22</x:v>
      </x:c>
    </x:row>
    <x:row r="13" ht="64" customHeight="1">
      <x:c r="A13" s="5" t="str">
        <x:v>I09</x:v>
      </x:c>
      <x:c r="B13" s="5" t="str">
        <x:v>GET /oauth/gmail/start</x:v>
      </x:c>
      <x:c r="C13" s="5" t="str">
        <x:v>P2</x:v>
      </x:c>
      <x:c r="D13" s="5" t="str">
        <x:v>session + state binding</x:v>
      </x:c>
      <x:c r="E13" s="5" t="str">
        <x:v>authorization redirect</x:v>
      </x:c>
      <x:c r="F13" s="5" t="str">
        <x:v>回调独立于平台登录</x:v>
      </x:c>
      <x:c r="G13" s="5" t="str">
        <x:v>P2-02</x:v>
      </x:c>
    </x:row>
    <x:row r="14" ht="64" customHeight="1">
      <x:c r="A14" s="9" t="str">
        <x:v>I10</x:v>
      </x:c>
      <x:c r="B14" s="9" t="str">
        <x:v>POST /send-jobs</x:v>
      </x:c>
      <x:c r="C14" s="9" t="str">
        <x:v>P2</x:v>
      </x:c>
      <x:c r="D14" s="9" t="str">
        <x:v>snapshot_id + mailbox + send_at</x:v>
      </x:c>
      <x:c r="E14" s="9" t="str">
        <x:v>job_id + state</x:v>
      </x:c>
      <x:c r="F14" s="9" t="str">
        <x:v>Idempotency-Key；unknown先核对</x:v>
      </x:c>
      <x:c r="G14" s="9" t="str">
        <x:v>P2-08</x:v>
      </x:c>
    </x:row>
    <x:row r="15" ht="64" customHeight="1">
      <x:c r="A15" s="5" t="str">
        <x:v>I11</x:v>
      </x:c>
      <x:c r="B15" s="5" t="str">
        <x:v>POST /mailboxes/{id}/sync</x:v>
      </x:c>
      <x:c r="C15" s="5" t="str">
        <x:v>P3</x:v>
      </x:c>
      <x:c r="D15" s="5" t="str">
        <x:v>cursor/server state</x:v>
      </x:c>
      <x:c r="E15" s="5" t="str">
        <x:v>sync_run + latest cursor</x:v>
      </x:c>
      <x:c r="F15" s="5" t="str">
        <x:v>游标失效恢复；不可跨租户</x:v>
      </x:c>
      <x:c r="G15" s="5" t="str">
        <x:v>P3-01</x:v>
      </x:c>
    </x:row>
    <x:row r="16" ht="64" customHeight="1">
      <x:c r="A16" s="9" t="str">
        <x:v>I12</x:v>
      </x:c>
      <x:c r="B16" s="9" t="str">
        <x:v>POST /threads/{id}/replies</x:v>
      </x:c>
      <x:c r="C16" s="9" t="str">
        <x:v>P3</x:v>
      </x:c>
      <x:c r="D16" s="9" t="str">
        <x:v>draft_revision + mailbox</x:v>
      </x:c>
      <x:c r="E16" s="9" t="str">
        <x:v>send_job</x:v>
      </x:c>
      <x:c r="F16" s="9" t="str">
        <x:v>保留会话头；按二期发送</x:v>
      </x:c>
      <x:c r="G16" s="9" t="str">
        <x:v>P3-04</x:v>
      </x:c>
    </x:row>
    <x:row r="17" ht="64" customHeight="1">
      <x:c r="A17" s="5" t="str">
        <x:v>I13</x:v>
      </x:c>
      <x:c r="B17" s="5" t="str">
        <x:v>POST /follow-up-tasks</x:v>
      </x:c>
      <x:c r="C17" s="5" t="str">
        <x:v>P3</x:v>
      </x:c>
      <x:c r="D17" s="5" t="str">
        <x:v>contact/thread + due_at</x:v>
      </x:c>
      <x:c r="E17" s="5" t="str">
        <x:v>task</x:v>
      </x:c>
      <x:c r="F17" s="5" t="str">
        <x:v>只提醒不发送</x:v>
      </x:c>
      <x:c r="G17" s="5" t="str">
        <x:v>P3-08</x:v>
      </x:c>
    </x:row>
    <x:row r="18" ht="64" customHeight="1">
      <x:c r="A18" s="9" t="str">
        <x:v>I14</x:v>
      </x:c>
      <x:c r="B18" s="9" t="str">
        <x:v>POST /campaigns/{id}/approve</x:v>
      </x:c>
      <x:c r="C18" s="9" t="str">
        <x:v>P4</x:v>
      </x:c>
      <x:c r="D18" s="9" t="str">
        <x:v>recipient snapshots + review revision</x:v>
      </x:c>
      <x:c r="E18" s="9" t="str">
        <x:v>campaign + jobs</x:v>
      </x:c>
      <x:c r="F18" s="9" t="str">
        <x:v>审阅过期拒绝；逐人任务</x:v>
      </x:c>
      <x:c r="G18" s="9" t="str">
        <x:v>P4-03</x:v>
      </x:c>
    </x:row>
    <x:row r="19" ht="64" customHeight="1">
      <x:c r="A19" s="5" t="str">
        <x:v>I15</x:v>
      </x:c>
      <x:c r="B19" s="5" t="str">
        <x:v>MentorDataProvider.search/get</x:v>
      </x:c>
      <x:c r="C19" s="5" t="str">
        <x:v>P4</x:v>
      </x:c>
      <x:c r="D19" s="5" t="str">
        <x:v>criteria/cursor or mentor_id</x:v>
      </x:c>
      <x:c r="E19" s="5" t="str">
        <x:v>result/source/capability/error</x:v>
      </x:c>
      <x:c r="F19" s="5" t="str">
        <x:v>骨架返回明确未实现</x:v>
      </x:c>
      <x:c r="G19" s="5" t="str">
        <x:v>P4-07</x:v>
      </x:c>
    </x:row>
  </x:sheetData>
  <x:pageMargins left="0.7" right="0.7" top="0.75" bottom="0.75" header="0.3" footer="0.3"/>
  <x:tableParts count="1">
    <x:tablePart xmlns:r="http://schemas.openxmlformats.org/officeDocument/2006/relationships" r:id="R50ad987555c2499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26" hidden="0" customWidth="1"/>
    <x:col min="4" max="4" width="46" hidden="0" customWidth="1"/>
    <x:col min="5" max="5" width="48" hidden="0" customWidth="1"/>
    <x:col min="6" max="6" width="37" hidden="0" customWidth="1"/>
  </x:cols>
  <x:sheetData>
    <x:row r="1" ht="30" customHeight="1">
      <x:c r="A1" s="2" t="str">
        <x:v>关键验收场景</x:v>
      </x:c>
      <x:c r="B1" s="1"/>
      <x:c r="C1" s="1"/>
      <x:c r="D1" s="1"/>
      <x:c r="E1" s="1"/>
      <x:c r="F1" s="1"/>
    </x:row>
    <x:row r="2" ht="28" customHeight="1">
      <x:c r="A2" s="3" t="str">
        <x:v>本表是待执行测试；不代表已完成真实API验证。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8" t="str">
        <x:v>测试ID</x:v>
      </x:c>
      <x:c r="B4" s="8" t="str">
        <x:v>期次</x:v>
      </x:c>
      <x:c r="C4" s="8" t="str">
        <x:v>需求ID</x:v>
      </x:c>
      <x:c r="D4" s="8" t="str">
        <x:v>场景</x:v>
      </x:c>
      <x:c r="E4" s="8" t="str">
        <x:v>预期结果</x:v>
      </x:c>
      <x:c r="F4" s="8" t="str">
        <x:v>建议验证证据</x:v>
      </x:c>
    </x:row>
    <x:row r="5" ht="64" customHeight="1">
      <x:c r="A5" s="5" t="str">
        <x:v>T01</x:v>
      </x:c>
      <x:c r="B5" s="5" t="n">
        <x:v>1</x:v>
      </x:c>
      <x:c r="C5" s="5" t="str">
        <x:v>P1-06、P1-07</x:v>
      </x:c>
      <x:c r="D5" s="5" t="str">
        <x:v>上传文本简历并修改学校</x:v>
      </x:c>
      <x:c r="E5" s="5" t="str">
        <x:v>来源片段保留；确认后生成新画像版本</x:v>
      </x:c>
      <x:c r="F5" s="5" t="str">
        <x:v>文件+界面+DB版本</x:v>
      </x:c>
    </x:row>
    <x:row r="6" ht="64" customHeight="1">
      <x:c r="A6" s="9" t="str">
        <x:v>T02</x:v>
      </x:c>
      <x:c r="B6" s="9" t="n">
        <x:v>1</x:v>
      </x:c>
      <x:c r="C6" s="9" t="str">
        <x:v>P1-08、P1-09</x:v>
      </x:c>
      <x:c r="D6" s="9" t="str">
        <x:v>无画像直接搜索并手动写信</x:v>
      </x:c>
      <x:c r="E6" s="9" t="str">
        <x:v>模块不被强制向导阻挡</x:v>
      </x:c>
      <x:c r="F6" s="9" t="str">
        <x:v>UI操作录像或截图</x:v>
      </x:c>
    </x:row>
    <x:row r="7" ht="64" customHeight="1">
      <x:c r="A7" s="5" t="str">
        <x:v>T03</x:v>
      </x:c>
      <x:c r="B7" s="5" t="n">
        <x:v>1</x:v>
      </x:c>
      <x:c r="C7" s="5" t="str">
        <x:v>P1-13</x:v>
      </x:c>
      <x:c r="D7" s="5" t="str">
        <x:v>Apollo 与 LinkedIn 线索对应同一人、同名异人及职位冲突</x:v>
      </x:c>
      <x:c r="E7" s="5" t="str">
        <x:v>同人核对后关联来源；同名不误合并；冲突保留，摘要不自动升级为事实</x:v>
      </x:c>
      <x:c r="F7" s="5" t="str">
        <x:v>联系人、来源关联、冲突记录及真实检索证据</x:v>
      </x:c>
    </x:row>
    <x:row r="8" ht="64" customHeight="1">
      <x:c r="A8" s="9" t="str">
        <x:v>T04</x:v>
      </x:c>
      <x:c r="B8" s="9" t="n">
        <x:v>1</x:v>
      </x:c>
      <x:c r="C8" s="9" t="str">
        <x:v>P1-17、P1-18</x:v>
      </x:c>
      <x:c r="D8" s="9" t="str">
        <x:v>联系人学校未知，要求校友开头</x:v>
      </x:c>
      <x:c r="E8" s="9" t="str">
        <x:v>提示无依据；不生成共同学校陈述</x:v>
      </x:c>
      <x:c r="F8" s="9" t="str">
        <x:v>生成输入/输出脱敏记录</x:v>
      </x:c>
    </x:row>
    <x:row r="9" ht="64" customHeight="1">
      <x:c r="A9" s="5" t="str">
        <x:v>T05</x:v>
      </x:c>
      <x:c r="B9" s="5" t="n">
        <x:v>1</x:v>
      </x:c>
      <x:c r="C9" s="5" t="str">
        <x:v>P1-18、P1-19</x:v>
      </x:c>
      <x:c r="D9" s="5" t="str">
        <x:v>已有手写正文后触发生成</x:v>
      </x:c>
      <x:c r="E9" s="5" t="str">
        <x:v>正文不变，候选在建议区；丢弃无损</x:v>
      </x:c>
      <x:c r="F9" s="5" t="str">
        <x:v>编辑前后版本</x:v>
      </x:c>
    </x:row>
    <x:row r="10" ht="64" customHeight="1">
      <x:c r="A10" s="9" t="str">
        <x:v>T06</x:v>
      </x:c>
      <x:c r="B10" s="9" t="n">
        <x:v>1</x:v>
      </x:c>
      <x:c r="C10" s="9" t="str">
        <x:v>P1-20、P1-23</x:v>
      </x:c>
      <x:c r="D10" s="9" t="str">
        <x:v>生成中修改正文再接收结果</x:v>
      </x:c>
      <x:c r="E10" s="9" t="str">
        <x:v>候选标过期；应用被阻止</x:v>
      </x:c>
      <x:c r="F10" s="9" t="str">
        <x:v>revision与响应记录</x:v>
      </x:c>
    </x:row>
    <x:row r="11" ht="64" customHeight="1">
      <x:c r="A11" s="5" t="str">
        <x:v>T07</x:v>
      </x:c>
      <x:c r="B11" s="5" t="n">
        <x:v>1</x:v>
      </x:c>
      <x:c r="C11" s="5" t="str">
        <x:v>P1-22</x:v>
      </x:c>
      <x:c r="D11" s="5" t="str">
        <x:v>姓名缺失或未知变量</x:v>
      </x:c>
      <x:c r="E11" s="5" t="str">
        <x:v>定位缺失并阻止 Ready；补齐可预览</x:v>
      </x:c>
      <x:c r="F11" s="5" t="str">
        <x:v>预览和验证清单</x:v>
      </x:c>
    </x:row>
    <x:row r="12" ht="64" customHeight="1">
      <x:c r="A12" s="9" t="str">
        <x:v>T08</x:v>
      </x:c>
      <x:c r="B12" s="9" t="n">
        <x:v>1</x:v>
      </x:c>
      <x:c r="C12" s="9" t="str">
        <x:v>P1-23</x:v>
      </x:c>
      <x:c r="D12" s="9" t="str">
        <x:v>断网保存失败及双标签页冲突</x:v>
      </x:c>
      <x:c r="E12" s="9" t="str">
        <x:v>不假 Saved；409保留双方；恢复可保存</x:v>
      </x:c>
      <x:c r="F12" s="9" t="str">
        <x:v>模拟错误及恢复记录</x:v>
      </x:c>
    </x:row>
    <x:row r="13" ht="64" customHeight="1">
      <x:c r="A13" s="5" t="str">
        <x:v>T09</x:v>
      </x:c>
      <x:c r="B13" s="5" t="n">
        <x:v>1</x:v>
      </x:c>
      <x:c r="C13" s="5" t="str">
        <x:v>P1-26</x:v>
      </x:c>
      <x:c r="D13" s="5" t="str">
        <x:v>真实API返回429或403</x:v>
      </x:c>
      <x:c r="E13" s="5" t="str">
        <x:v>显示错误，不回退模拟数据</x:v>
      </x:c>
      <x:c r="F13" s="5" t="str">
        <x:v>Provider错误记录</x:v>
      </x:c>
    </x:row>
    <x:row r="14" ht="64" customHeight="1">
      <x:c r="A14" s="9" t="str">
        <x:v>T10</x:v>
      </x:c>
      <x:c r="B14" s="9" t="n">
        <x:v>2</x:v>
      </x:c>
      <x:c r="C14" s="9" t="str">
        <x:v>P2-01</x:v>
      </x:c>
      <x:c r="D14" s="9" t="str">
        <x:v>用户A访问B草稿/文件/邮箱ID</x:v>
      </x:c>
      <x:c r="E14" s="9" t="str">
        <x:v>请求被拒；对象存在性不泄露</x:v>
      </x:c>
      <x:c r="F14" s="9" t="str">
        <x:v>跨租户接口测试</x:v>
      </x:c>
    </x:row>
    <x:row r="15" ht="64" customHeight="1">
      <x:c r="A15" s="5" t="str">
        <x:v>T11</x:v>
      </x:c>
      <x:c r="B15" s="5" t="n">
        <x:v>2</x:v>
      </x:c>
      <x:c r="C15" s="5" t="str">
        <x:v>P2-02、P2-06</x:v>
      </x:c>
      <x:c r="D15" s="5" t="str">
        <x:v>登录后连接不同 Gmail 并测试发送</x:v>
      </x:c>
      <x:c r="E15" s="5" t="str">
        <x:v>用户指定地址收到邮件；测试不计正式统计</x:v>
      </x:c>
      <x:c r="F15" s="5" t="str">
        <x:v>脱敏provider ID和收件记录</x:v>
      </x:c>
    </x:row>
    <x:row r="16" ht="64" customHeight="1">
      <x:c r="A16" s="9" t="str">
        <x:v>T12</x:v>
      </x:c>
      <x:c r="B16" s="9" t="n">
        <x:v>2</x:v>
      </x:c>
      <x:c r="C16" s="9" t="str">
        <x:v>P2-08、P2-09</x:v>
      </x:c>
      <x:c r="D16" s="9" t="str">
        <x:v>重复点击、Worker重启、响应超时</x:v>
      </x:c>
      <x:c r="E16" s="9" t="str">
        <x:v>任务不重复；unknown不盲目重发</x:v>
      </x:c>
      <x:c r="F16" s="9" t="str">
        <x:v>任务表和SendAttempt</x:v>
      </x:c>
    </x:row>
    <x:row r="17" ht="64" customHeight="1">
      <x:c r="A17" s="5" t="str">
        <x:v>T13</x:v>
      </x:c>
      <x:c r="B17" s="5" t="n">
        <x:v>2</x:v>
      </x:c>
      <x:c r="C17" s="5" t="str">
        <x:v>P2-08</x:v>
      </x:c>
      <x:c r="D17" s="5" t="str">
        <x:v>非工作时段、DST边界及取消任务</x:v>
      </x:c>
      <x:c r="E17" s="5" t="str">
        <x:v>按配置窗口执行；取消前未提交</x:v>
      </x:c>
      <x:c r="F17" s="5" t="str">
        <x:v>时间计算测试</x:v>
      </x:c>
    </x:row>
    <x:row r="18" ht="64" customHeight="1">
      <x:c r="A18" s="9" t="str">
        <x:v>T14</x:v>
      </x:c>
      <x:c r="B18" s="9" t="n">
        <x:v>3</x:v>
      </x:c>
      <x:c r="C18" s="9" t="str">
        <x:v>P3-01、P3-02</x:v>
      </x:c>
      <x:c r="D18" s="9" t="str">
        <x:v>重复增量事件、乱序事件、游标过期</x:v>
      </x:c>
      <x:c r="E18" s="9" t="str">
        <x:v>去重且可恢复，旧会话仍关联</x:v>
      </x:c>
      <x:c r="F18" s="9" t="str">
        <x:v>同步游标与消息唯一键</x:v>
      </x:c>
    </x:row>
    <x:row r="19" ht="64" customHeight="1">
      <x:c r="A19" s="5" t="str">
        <x:v>T15</x:v>
      </x:c>
      <x:c r="B19" s="5" t="n">
        <x:v>3</x:v>
      </x:c>
      <x:c r="C19" s="5" t="str">
        <x:v>P3-04</x:v>
      </x:c>
      <x:c r="D19" s="5" t="str">
        <x:v>从指定收件邮箱回复再从平台回信</x:v>
      </x:c>
      <x:c r="E19" s="5" t="str">
        <x:v>双方同一目标会话可查看</x:v>
      </x:c>
      <x:c r="F19" s="5" t="str">
        <x:v>消息头及实际会话截图</x:v>
      </x:c>
    </x:row>
    <x:row r="20" ht="64" customHeight="1">
      <x:c r="A20" s="9" t="str">
        <x:v>T16</x:v>
      </x:c>
      <x:c r="B20" s="9" t="n">
        <x:v>3</x:v>
      </x:c>
      <x:c r="C20" s="9" t="str">
        <x:v>P3-06</x:v>
      </x:c>
      <x:c r="D20" s="9" t="str">
        <x:v>已有定时邮件时收到回复</x:v>
      </x:c>
      <x:c r="E20" s="9" t="str">
        <x:v>待发暂停；人工明确后才恢复</x:v>
      </x:c>
      <x:c r="F20" s="9" t="str">
        <x:v>SendJob状态与原因</x:v>
      </x:c>
    </x:row>
    <x:row r="21" ht="64" customHeight="1">
      <x:c r="A21" s="5" t="str">
        <x:v>T17</x:v>
      </x:c>
      <x:c r="B21" s="5" t="n">
        <x:v>3</x:v>
      </x:c>
      <x:c r="C21" s="5" t="str">
        <x:v>P3-08、P3-09</x:v>
      </x:c>
      <x:c r="D21" s="5" t="str">
        <x:v>跟进任务到期</x:v>
      </x:c>
      <x:c r="E21" s="5" t="str">
        <x:v>只提醒，外部发送数不变</x:v>
      </x:c>
      <x:c r="F21" s="5" t="str">
        <x:v>任务与发件记录对比</x:v>
      </x:c>
    </x:row>
    <x:row r="22" ht="64" customHeight="1">
      <x:c r="A22" s="9" t="str">
        <x:v>T18</x:v>
      </x:c>
      <x:c r="B22" s="9" t="n">
        <x:v>3</x:v>
      </x:c>
      <x:c r="C22" s="9" t="str">
        <x:v>P3-07</x:v>
      </x:c>
      <x:c r="D22" s="9" t="str">
        <x:v>退订后切换另一个已连接邮箱发信</x:v>
      </x:c>
      <x:c r="E22" s="9" t="str">
        <x:v>工作区级屏蔽仍生效</x:v>
      </x:c>
      <x:c r="F22" s="9" t="str">
        <x:v>suppression和预检记录</x:v>
      </x:c>
    </x:row>
    <x:row r="23" ht="64" customHeight="1">
      <x:c r="A23" s="5" t="str">
        <x:v>T19</x:v>
      </x:c>
      <x:c r="B23" s="5" t="n">
        <x:v>4</x:v>
      </x:c>
      <x:c r="C23" s="5" t="str">
        <x:v>P4-02、P4-03</x:v>
      </x:c>
      <x:c r="D23" s="5" t="str">
        <x:v>十人名单含重复/缺变量/被屏蔽者</x:v>
      </x:c>
      <x:c r="E23" s="5" t="str">
        <x:v>异常汇总，明确排除后逐人发送</x:v>
      </x:c>
      <x:c r="F23" s="5" t="str">
        <x:v>预览与快照逐条比较</x:v>
      </x:c>
    </x:row>
    <x:row r="24" ht="64" customHeight="1">
      <x:c r="A24" s="9" t="str">
        <x:v>T20</x:v>
      </x:c>
      <x:c r="B24" s="9" t="n">
        <x:v>4</x:v>
      </x:c>
      <x:c r="C24" s="9" t="str">
        <x:v>P4-04</x:v>
      </x:c>
      <x:c r="D24" s="9" t="str">
        <x:v>活动暂停后恢复并单人退出</x:v>
      </x:c>
      <x:c r="E24" s="9" t="str">
        <x:v>窗口重算，退出人不发送</x:v>
      </x:c>
      <x:c r="F24" s="9" t="str">
        <x:v>队列与活动记录</x:v>
      </x:c>
    </x:row>
    <x:row r="25" ht="64" customHeight="1">
      <x:c r="A25" s="5" t="str">
        <x:v>T21</x:v>
      </x:c>
      <x:c r="B25" s="5" t="n">
        <x:v>4</x:v>
      </x:c>
      <x:c r="C25" s="5" t="str">
        <x:v>P4-05</x:v>
      </x:c>
      <x:c r="D25" s="5" t="str">
        <x:v>测试、自动回复、正式发送混合样本</x:v>
      </x:c>
      <x:c r="E25" s="5" t="str">
        <x:v>正式人数去重；人工回复独立；分母一致</x:v>
      </x:c>
      <x:c r="F25" s="5" t="str">
        <x:v>事件明细和统计查询</x:v>
      </x:c>
    </x:row>
    <x:row r="26" ht="64" customHeight="1">
      <x:c r="A26" s="9" t="str">
        <x:v>T22</x:v>
      </x:c>
      <x:c r="B26" s="9" t="n">
        <x:v>4</x:v>
      </x:c>
      <x:c r="C26" s="9" t="str">
        <x:v>P4-07</x:v>
      </x:c>
      <x:c r="D26" s="9" t="str">
        <x:v>调用未实现导师provider</x:v>
      </x:c>
      <x:c r="E26" s="9" t="str">
        <x:v>明确Unavailable，无伪造导师</x:v>
      </x:c>
      <x:c r="F26" s="9" t="str">
        <x:v>契约测试结果</x:v>
      </x:c>
    </x:row>
  </x:sheetData>
  <x:pageMargins left="0.7" right="0.7" top="0.75" bottom="0.75" header="0.3" footer="0.3"/>
  <x:tableParts count="1">
    <x:tablePart xmlns:r="http://schemas.openxmlformats.org/officeDocument/2006/relationships" r:id="R8f4c63c4ff434e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6" hidden="0" customWidth="1"/>
    <x:col min="3" max="3" width="8" hidden="0" customWidth="1"/>
    <x:col min="4" max="4" width="130" hidden="0" customWidth="1"/>
  </x:cols>
  <x:sheetData>
    <x:row r="1" ht="30" customHeight="1">
      <x:c r="A1" s="2" t="str">
        <x:v>四期完整开发 Prompt</x:v>
      </x:c>
      <x:c r="B1" s="1"/>
      <x:c r="C1" s="1"/>
      <x:c r="D1" s="1"/>
    </x:row>
    <x:row r="2" ht="28" customHeight="1">
      <x:c r="A2" s="3" t="str">
        <x:v>筛选期次后，按段落序号复制正文；可直接使用同目录的独立 Markdown 文件。</x:v>
      </x:c>
      <x:c r="B2" s="1"/>
      <x:c r="C2" s="1"/>
      <x:c r="D2" s="1"/>
    </x:row>
    <x:row r="3">
      <x:c r="A3" s="1"/>
      <x:c r="B3" s="1"/>
      <x:c r="C3" s="1"/>
      <x:c r="D3" s="1"/>
    </x:row>
    <x:row r="4" ht="32" customHeight="1">
      <x:c r="A4" s="8" t="str">
        <x:v>期次</x:v>
      </x:c>
      <x:c r="B4" s="8" t="str">
        <x:v>文件</x:v>
      </x:c>
      <x:c r="C4" s="8" t="str">
        <x:v>段落</x:v>
      </x:c>
      <x:c r="D4" s="8" t="str">
        <x:v>Prompt正文</x:v>
      </x:c>
    </x:row>
    <x:row r="5" ht="44" customHeight="1">
      <x:c r="A5" s="5" t="n">
        <x:v>1</x:v>
      </x:c>
      <x:c r="B5" s="5" t="str">
        <x:v>prompt-01-mvp.md</x:v>
      </x:c>
      <x:c r="C5" s="5" t="n">
        <x:v>1</x:v>
      </x:c>
      <x:c r="D5" s="18" t="str">
        <x:v>请开发 Connact.ai 第 1 期：简历找人与 AI 写作。</x:v>
      </x:c>
    </x:row>
    <x:row r="6" ht="120" customHeight="1">
      <x:c r="A6" s="9" t="n">
        <x:v>1</x:v>
      </x:c>
      <x:c r="B6" s="9" t="str">
        <x:v>prompt-01-mvp.md</x:v>
      </x:c>
      <x:c r="C6" s="9" t="n">
        <x:v>2</x:v>
      </x:c>
      <x:c r="D6" s="19" t="str">
        <x:v>已确认约束：个人工作区可连接多个 Gmail，团队仅预留；默认英文界面并支持简体中文，邮件语言独立；Finance 是核心，Academic 仅占位与契约；四期均不做自动序列。所有模块独立可用，不强制分步向导。不要把 Mock 或 HTML 演示当作真实集成。
管理员后端已列为 Soon 待排期，不属于 P1–P4 的实现范围；只保留 Coming Soon 入口与范围说明，不开放真实管理操作。平台管理员与个人工作区 Owner 是不同角色。
先检查工作区、AGENTS.md 和已实现代码，给出简短实施顺序后直接开发。延续已有数据和模块，不重建整个项目。第三方能力查当前官方文档；没有凭据可显式 Mock，真实失败不能偷偷回退模拟。交付代码、迁移、启动说明、关键验证及真实未验证项。涉及真实发信仅用用户指定测试收件人。</x:v>
      </x:c>
    </x:row>
    <x:row r="7" ht="52" customHeight="1">
      <x:c r="A7" s="5" t="n">
        <x:v>1</x:v>
      </x:c>
      <x:c r="B7" s="5" t="str">
        <x:v>prompt-01-mvp.md</x:v>
      </x:c>
      <x:c r="C7" s="5" t="n">
        <x:v>3</x:v>
      </x:c>
      <x:c r="D7" s="18" t="str">
        <x:v>本次只开发第一期最小 MVP：上传简历/手动画像 → 搜索金融联系人 → 看推荐理由 → 保存联系人 → AI 写信 → 编辑、变量预览和保存/复制草稿。</x:v>
      </x:c>
    </x:row>
    <x:row r="8" ht="69" customHeight="1">
      <x:c r="A8" s="9" t="n">
        <x:v>1</x:v>
      </x:c>
      <x:c r="B8" s="9" t="str">
        <x:v>prompt-01-mvp.md</x:v>
      </x:c>
      <x:c r="C8" s="9" t="n">
        <x:v>4</x:v>
      </x:c>
      <x:c r="D8" s="19" t="str">
        <x:v>布局：专业 B2B 工作台，左导航、顶部上下文、主内容区及联系人抽屉。Dashboard、Finance、Personas、People Search、Contacts、Email Studio 可用。Academic、Templates、Mailboxes、Inbox、Campaigns、Analytics 为明确 Coming Soon。画像不是搜索或手写草稿的强制前置。</x:v>
      </x:c>
    </x:row>
    <x:row r="9" ht="52" customHeight="1">
      <x:c r="A9" s="5" t="n">
        <x:v>1</x:v>
      </x:c>
      <x:c r="B9" s="5" t="str">
        <x:v>prompt-01-mvp.md</x:v>
      </x:c>
      <x:c r="C9" s="5" t="n">
        <x:v>5</x:v>
      </x:c>
      <x:c r="D9" s="18" t="str">
        <x:v>画像：文本型 PDF/DOCX，10 MB 上限，私有存储；提取教育/工作/技能/金融领域/地区/职业目标。保留原文证据，用户校对确认后建立版本。扫描件未支持时说明限制；支持手填及多个画像。</x:v>
      </x:c>
    </x:row>
    <x:row r="10" ht="120" customHeight="1">
      <x:c r="A10" s="9" t="n">
        <x:v>1</x:v>
      </x:c>
      <x:c r="B10" s="9" t="str">
        <x:v>prompt-01-mvp.md</x:v>
      </x:c>
      <x:c r="C10" s="9" t="n">
        <x:v>6</x:v>
      </x:c>
      <x:c r="D10" s="19" t="str">
        <x:v>搜索：后端 Apollo 提供结构化人员搜索与按需 enrichment；SerpAPI 通过 Google 定向检索 LinkedIn 公开档案（如 site:linkedin.com/in/ 加姓名与机构），不直接调用 LinkedIn API。两者围绕同一 Contact 相互补充：Apollo 信息定位 LinkedIn，核对后的 LinkedIn URL/职业信息反向辅助 Apollo 匹配；现有适配器只有通用搜索与 Apollo ID 补充，定向查询及反向匹配需实现后验证。独立保留来源与获取时间，摘要保持待核实，冲突不覆盖，不按同名自动合并。实现职位/机构/地区/关键词分页、来源和时间、有限批量补充。邮箱未知如实显示。基于选定画像及来源生成简短推荐理由，不编造校友关系。保存按提供商 ID 去重，支持手工联系人、标签和备注。</x:v>
      </x:c>
    </x:row>
    <x:row r="11" ht="86" customHeight="1">
      <x:c r="A11" s="5" t="n">
        <x:v>1</x:v>
      </x:c>
      <x:c r="B11" s="5" t="str">
        <x:v>prompt-01-mvp.md</x:v>
      </x:c>
      <x:c r="C11" s="5" t="n">
        <x:v>7</x:v>
      </x:c>
      <x:c r="D11" s="18" t="str">
        <x:v>AI 写作：在联系人和画像基础上设置目的、CTA、语言、语气、长度。右侧显示可用证据与缺口，允许选取用于写信的事实。生成结构化 subject/body/claims/warnings，在建议区展示，不覆盖正文。支持比较、采纳、丢弃、撤销与局部缩短/改写；建议绑定草稿 revision，过期结果不覆盖新稿。使用 Tiptap 基础富文本与变量节点，缺失变量明确定位；复制内容必须与预览一致。服务端防抖保存、版本冲突保留双方内容；提供草稿库及三个 Finance 写作起点。</x:v>
      </x:c>
    </x:row>
    <x:row r="12" ht="86" customHeight="1">
      <x:c r="A12" s="9" t="n">
        <x:v>1</x:v>
      </x:c>
      <x:c r="B12" s="9" t="str">
        <x:v>prompt-01-mvp.md</x:v>
      </x:c>
      <x:c r="C12" s="9" t="n">
        <x:v>8</x:v>
      </x:c>
      <x:c r="D12" s="19" t="str">
        <x:v>技术：Next.js/React/TypeScript/Tiptap + FastAPI + PostgreSQL + Docker Compose。固定本地 workspace，所有查询限定 workspace_id；该模式只限本地。封装搜索、补充、公开搜索、AI Provider。保存 PersonaVersion、SourceEvidence、MatchAssessment、GenerationRun、DraftRevision。第一期不装 Redis、不开发登录、邮箱或发送。</x:v>
      </x:c>
    </x:row>
    <x:row r="13" ht="52" customHeight="1">
      <x:c r="A13" s="5" t="n">
        <x:v>1</x:v>
      </x:c>
      <x:c r="B13" s="5" t="str">
        <x:v>prompt-01-mvp.md</x:v>
      </x:c>
      <x:c r="C13" s="5" t="n">
        <x:v>9</x:v>
      </x:c>
      <x:c r="D13" s="18" t="str">
        <x:v>验收：刷新后画像/联系人/草稿存在；同人不重复保存；无证据不造事实；生成失败保留原稿；变量缺失不能标 Ready；旧建议不能覆盖新编辑；Mock 明示；英文默认及中文切换可用。交付可运行闭环，不停在页面骨架。</x:v>
      </x:c>
    </x:row>
    <x:row r="14" ht="44" customHeight="1">
      <x:c r="A14" s="9" t="n">
        <x:v>2</x:v>
      </x:c>
      <x:c r="B14" s="9" t="str">
        <x:v>prompt-02-mailboxes-send.md</x:v>
      </x:c>
      <x:c r="C14" s="9" t="n">
        <x:v>1</x:v>
      </x:c>
      <x:c r="D14" s="19" t="str">
        <x:v>请开发 Connact.ai 第 2 期：账户 Gmail 与单封发送。</x:v>
      </x:c>
    </x:row>
    <x:row r="15" ht="120" customHeight="1">
      <x:c r="A15" s="5" t="n">
        <x:v>2</x:v>
      </x:c>
      <x:c r="B15" s="5" t="str">
        <x:v>prompt-02-mailboxes-send.md</x:v>
      </x:c>
      <x:c r="C15" s="5" t="n">
        <x:v>2</x:v>
      </x:c>
      <x:c r="D15" s="18" t="str">
        <x:v>已确认约束：个人工作区可连接多个 Gmail，团队仅预留；默认英文界面并支持简体中文，邮件语言独立；Finance 是核心，Academic 仅占位与契约；四期均不做自动序列。所有模块独立可用，不强制分步向导。不要把 Mock 或 HTML 演示当作真实集成。
管理员后端已列为 Soon 待排期，不属于 P1–P4 的实现范围；只保留 Coming Soon 入口与范围说明，不开放真实管理操作。平台管理员与个人工作区 Owner 是不同角色。
先检查工作区、AGENTS.md 和已实现代码，给出简短实施顺序后直接开发。延续已有数据和模块，不重建整个项目。第三方能力查当前官方文档；没有凭据可显式 Mock，真实失败不能偷偷回退模拟。交付代码、迁移、启动说明、关键验证及真实未验证项。涉及真实发信仅用用户指定测试收件人。</x:v>
      </x:c>
    </x:row>
    <x:row r="16" ht="52" customHeight="1">
      <x:c r="A16" s="9" t="n">
        <x:v>2</x:v>
      </x:c>
      <x:c r="B16" s="9" t="str">
        <x:v>prompt-02-mailboxes-send.md</x:v>
      </x:c>
      <x:c r="C16" s="9" t="n">
        <x:v>3</x:v>
      </x:c>
      <x:c r="D16" s="19" t="str">
        <x:v>在第一期代码上开发第二期：正式账户、多个 Gmail、单封测试/正式/定时发送。不要开发完整 Inbox、批量 Campaign 或自动跟进。</x:v>
      </x:c>
    </x:row>
    <x:row r="17" ht="52" customHeight="1">
      <x:c r="A17" s="5" t="n">
        <x:v>2</x:v>
      </x:c>
      <x:c r="B17" s="5" t="str">
        <x:v>prompt-02-mailboxes-send.md</x:v>
      </x:c>
      <x:c r="C17" s="5" t="n">
        <x:v>4</x:v>
      </x:c>
      <x:c r="D17" s="18" t="str">
        <x:v>账户：实现 Google 平台登录及 User/Workspace/Membership，个人工作区一个 Owner。现有本地演示数据显式迁移/认领，不能自动归给任意登录用户。两个测试用户必须完成 API/文件/数据隔离验证；生产配置禁用演示登录。</x:v>
      </x:c>
    </x:row>
    <x:row r="18" ht="69" customHeight="1">
      <x:c r="A18" s="9" t="n">
        <x:v>2</x:v>
      </x:c>
      <x:c r="B18" s="9" t="str">
        <x:v>prompt-02-mailboxes-send.md</x:v>
      </x:c>
      <x:c r="C18" s="9" t="n">
        <x:v>5</x:v>
      </x:c>
      <x:c r="D18" s="19" t="str">
        <x:v>邮箱：Google 平台登录与 Gmail 授权分开，一个用户可连接多个且与登录地址不同。OAuth state、安全回调、适用 PKCE；Token/Refresh Token 服务端加密，密钥与数据库分开。支持刷新、失效、断连/重授权、授权发件身份、平台签名、时区、合法发送窗口和平台限额。按功能申请必要权限，公开上线审核单独说明。</x:v>
      </x:c>
    </x:row>
    <x:row r="19" ht="52" customHeight="1">
      <x:c r="A19" s="5" t="n">
        <x:v>2</x:v>
      </x:c>
      <x:c r="B19" s="5" t="str">
        <x:v>prompt-02-mailboxes-send.md</x:v>
      </x:c>
      <x:c r="C19" s="5" t="n">
        <x:v>6</x:v>
      </x:c>
      <x:c r="D19" s="18" t="str">
        <x:v>发送：复用一期草稿和预览，发送前检查收件地址、变量、附件、HTML、屏蔽列表及邮箱状态，冻结用户确认的内容版本。测试默认发给自己的指定邮箱，不能计入正式触达。正式单封由用户明确确认；sent 只表示提供商接受。附件必须用户主动选择，检查编码后总大小。</x:v>
      </x:c>
    </x:row>
    <x:row r="20" ht="69" customHeight="1">
      <x:c r="A20" s="9" t="n">
        <x:v>2</x:v>
      </x:c>
      <x:c r="B20" s="9" t="str">
        <x:v>prompt-02-mailboxes-send.md</x:v>
      </x:c>
      <x:c r="C20" s="9" t="n">
        <x:v>7</x:v>
      </x:c>
      <x:c r="D20" s="19" t="str">
        <x:v>定时：加入 Redis/Worker，PostgreSQL 持久化 SendJob/SendAttempt，按邮箱时区和窗口执行。支持取消、暂停、重启恢复。API 幂等键、任务唯一约束与执行锁配合防重。可能已发送但响应超时标 unknown，先核对，不盲目重试。断连/失效停止该邮箱任务，手动禁止地址在工作区跨邮箱生效。</x:v>
      </x:c>
    </x:row>
    <x:row r="21" ht="52" customHeight="1">
      <x:c r="A21" s="5" t="n">
        <x:v>2</x:v>
      </x:c>
      <x:c r="B21" s="5" t="str">
        <x:v>prompt-02-mailboxes-send.md</x:v>
      </x:c>
      <x:c r="C21" s="5" t="n">
        <x:v>8</x:v>
      </x:c>
      <x:c r="D21" s="18" t="str">
        <x:v>接口预留 MailProvider 的同步/回复能力但本期不建 Inbox UI。记录 provider message/thread ID，便于三期关联。不要假设 Gmail 支持业务幂等键或绝对 exactly-once。</x:v>
      </x:c>
    </x:row>
    <x:row r="22" ht="52" customHeight="1">
      <x:c r="A22" s="9" t="n">
        <x:v>2</x:v>
      </x:c>
      <x:c r="B22" s="9" t="str">
        <x:v>prompt-02-mailboxes-send.md</x:v>
      </x:c>
      <x:c r="C22" s="9" t="n">
        <x:v>9</x:v>
      </x:c>
      <x:c r="D22" s="19" t="str">
        <x:v>验收：两个用户与两个 Gmail 边界正确；重复点击不重复任务；指定测试邮箱完成真实发信；定时/取消/断连/unknown 场景测试。缺少凭据时交付真实适配器和 Mock 测试，标记真实集成未验证。保持一期画像搜索写作回归通过。</x:v>
      </x:c>
    </x:row>
    <x:row r="23" ht="44" customHeight="1">
      <x:c r="A23" s="5" t="n">
        <x:v>3</x:v>
      </x:c>
      <x:c r="B23" s="5" t="str">
        <x:v>prompt-03-inbox-followup.md</x:v>
      </x:c>
      <x:c r="C23" s="5" t="n">
        <x:v>1</x:v>
      </x:c>
      <x:c r="D23" s="18" t="str">
        <x:v>请开发 Connact.ai 第 3 期：收件箱与手动跟进。</x:v>
      </x:c>
    </x:row>
    <x:row r="24" ht="120" customHeight="1">
      <x:c r="A24" s="9" t="n">
        <x:v>3</x:v>
      </x:c>
      <x:c r="B24" s="9" t="str">
        <x:v>prompt-03-inbox-followup.md</x:v>
      </x:c>
      <x:c r="C24" s="9" t="n">
        <x:v>2</x:v>
      </x:c>
      <x:c r="D24" s="19" t="str">
        <x:v>已确认约束：个人工作区可连接多个 Gmail，团队仅预留；默认英文界面并支持简体中文，邮件语言独立；Finance 是核心，Academic 仅占位与契约；四期均不做自动序列。所有模块独立可用，不强制分步向导。不要把 Mock 或 HTML 演示当作真实集成。
管理员后端已列为 Soon 待排期，不属于 P1–P4 的实现范围；只保留 Coming Soon 入口与范围说明，不开放真实管理操作。平台管理员与个人工作区 Owner 是不同角色。
先检查工作区、AGENTS.md 和已实现代码，给出简短实施顺序后直接开发。延续已有数据和模块，不重建整个项目。第三方能力查当前官方文档；没有凭据可显式 Mock，真实失败不能偷偷回退模拟。交付代码、迁移、启动说明、关键验证及真实未验证项。涉及真实发信仅用用户指定测试收件人。</x:v>
      </x:c>
    </x:row>
    <x:row r="25" ht="44" customHeight="1">
      <x:c r="A25" s="5" t="n">
        <x:v>3</x:v>
      </x:c>
      <x:c r="B25" s="5" t="str">
        <x:v>prompt-03-inbox-followup.md</x:v>
      </x:c>
      <x:c r="C25" s="5" t="n">
        <x:v>3</x:v>
      </x:c>
      <x:c r="D25" s="18" t="str">
        <x:v>在前两期代码上开发第三期：集中 Inbox、原会话回复、手动跟进和对既有排期的回复保护。不开发自动下一封。</x:v>
      </x:c>
    </x:row>
    <x:row r="26" ht="69" customHeight="1">
      <x:c r="A26" s="9" t="n">
        <x:v>3</x:v>
      </x:c>
      <x:c r="B26" s="9" t="str">
        <x:v>prompt-03-inbox-followup.md</x:v>
      </x:c>
      <x:c r="C26" s="9" t="n">
        <x:v>4</x:v>
      </x:c>
      <x:c r="D26" s="19" t="str">
        <x:v>同步：先读取最近 30 天并分页，持久化 history 游标，增量轮询默认两分钟并可手动刷新。游标失效执行恢复同步；进行中的旧会话继续跟踪。以 workspace/mailbox/provider message/thread ID 关联并去重，平台外在 Gmail 收发的消息也能进入会话。</x:v>
      </x:c>
    </x:row>
    <x:row r="27" ht="69" customHeight="1">
      <x:c r="A27" s="5" t="n">
        <x:v>3</x:v>
      </x:c>
      <x:c r="B27" s="5" t="str">
        <x:v>prompt-03-inbox-followup.md</x:v>
      </x:c>
      <x:c r="C27" s="5" t="n">
        <x:v>5</x:v>
      </x:c>
      <x:c r="D27" s="18" t="str">
        <x:v>Inbox：三栏为筛选、会话列表、正文与回复编辑器/联系人侧栏。支持邮箱、领域、未读、待回复和意向筛选；未知领域不自动归 Finance。已读与归档同步 Gmail；备注、意向、提醒只在平台。邮件 HTML 清理、远程图默认不加载；附件显示元数据及可用入口。</x:v>
      </x:c>
    </x:row>
    <x:row r="28" ht="52" customHeight="1">
      <x:c r="A28" s="9" t="n">
        <x:v>3</x:v>
      </x:c>
      <x:c r="B28" s="9" t="str">
        <x:v>prompt-03-inbox-followup.md</x:v>
      </x:c>
      <x:c r="C28" s="9" t="n">
        <x:v>6</x:v>
      </x:c>
      <x:c r="D28" s="19" t="str">
        <x:v>回复：复用草稿与发送，维护 threadId、In-Reply-To、References 和主题关系。在指定收件端验证属于目标会话。只有实际收到消息才标已回复；区分人工、自动和未知，不能把自动回复作为人工回复指标。</x:v>
      </x:c>
    </x:row>
    <x:row r="29" ht="52" customHeight="1">
      <x:c r="A29" s="5" t="n">
        <x:v>3</x:v>
      </x:c>
      <x:c r="B29" s="5" t="str">
        <x:v>prompt-03-inbox-followup.md</x:v>
      </x:c>
      <x:c r="C29" s="5" t="n">
        <x:v>7</x:v>
      </x:c>
      <x:c r="D29" s="18" t="str">
        <x:v>保护：新回复暂停该联系人的既有未发排期并提示检查，用户明确确认后可继续。这不是新建自动跟进。硬退信地址、退订及明确拒绝进入工作区级 suppression；跨邮箱和活动均执行。提供有效退订入口和手动标记，模糊自然语言只作辅助。</x:v>
      </x:c>
    </x:row>
    <x:row r="30" ht="52" customHeight="1">
      <x:c r="A30" s="9" t="n">
        <x:v>3</x:v>
      </x:c>
      <x:c r="B30" s="9" t="str">
        <x:v>prompt-03-inbox-followup.md</x:v>
      </x:c>
      <x:c r="C30" s="9" t="n">
        <x:v>8</x:v>
      </x:c>
      <x:c r="D30" s="19" t="str">
        <x:v>手动跟进：FollowUpTask 关联联系人/会话，支持时间、备注、完成、改期、取消。到期只显示平台提醒；用户主动点击才进入原会话写信，可选模板/AI，再明确发送或排期。收到回复时提示检查关联任务，不自动发送。</x:v>
      </x:c>
    </x:row>
    <x:row r="31" ht="52" customHeight="1">
      <x:c r="A31" s="5" t="n">
        <x:v>3</x:v>
      </x:c>
      <x:c r="B31" s="5" t="str">
        <x:v>prompt-03-inbox-followup.md</x:v>
      </x:c>
      <x:c r="C31" s="5" t="n">
        <x:v>9</x:v>
      </x:c>
      <x:c r="D31" s="18" t="str">
        <x:v>异常：界面显示最后同步时间、失败原因和权限状态；同步失败时暂停需要最新回复检查的排期。说明回复到达与发信之间仍存在的外部竞态，不承诺绝对零误发。</x:v>
      </x:c>
    </x:row>
    <x:row r="32" ht="52" customHeight="1">
      <x:c r="A32" s="9" t="n">
        <x:v>3</x:v>
      </x:c>
      <x:c r="B32" s="9" t="str">
        <x:v>prompt-03-inbox-followup.md</x:v>
      </x:c>
      <x:c r="C32" s="9" t="n">
        <x:v>10</x:v>
      </x:c>
      <x:c r="D32" s="19" t="str">
        <x:v>验收：指定测试邮箱真实回复出现在 Inbox；重复/乱序同步不重复消息；游标恢复；归档状态正确；新回复暂停排期；跟进到期绝不发信；保留一期与二期回归。无真实凭据如实标记验证缺口。</x:v>
      </x:c>
    </x:row>
    <x:row r="33" ht="44" customHeight="1">
      <x:c r="A33" s="5" t="n">
        <x:v>4</x:v>
      </x:c>
      <x:c r="B33" s="5" t="str">
        <x:v>prompt-04-campaigns-polish.md</x:v>
      </x:c>
      <x:c r="C33" s="5" t="n">
        <x:v>1</x:v>
      </x:c>
      <x:c r="D33" s="18" t="str">
        <x:v>请开发 Connact.ai 第 4 期：批量活动模板与统计。</x:v>
      </x:c>
    </x:row>
    <x:row r="34" ht="120" customHeight="1">
      <x:c r="A34" s="9" t="n">
        <x:v>4</x:v>
      </x:c>
      <x:c r="B34" s="9" t="str">
        <x:v>prompt-04-campaigns-polish.md</x:v>
      </x:c>
      <x:c r="C34" s="9" t="n">
        <x:v>2</x:v>
      </x:c>
      <x:c r="D34" s="19" t="str">
        <x:v>已确认约束：个人工作区可连接多个 Gmail，团队仅预留；默认英文界面并支持简体中文，邮件语言独立；Finance 是核心，Academic 仅占位与契约；四期均不做自动序列。所有模块独立可用，不强制分步向导。不要把 Mock 或 HTML 演示当作真实集成。
管理员后端已列为 Soon 待排期，不属于 P1–P4 的实现范围；只保留 Coming Soon 入口与范围说明，不开放真实管理操作。平台管理员与个人工作区 Owner 是不同角色。
先检查工作区、AGENTS.md 和已实现代码，给出简短实施顺序后直接开发。延续已有数据和模块，不重建整个项目。第三方能力查当前官方文档；没有凭据可显式 Mock，真实失败不能偷偷回退模拟。交付代码、迁移、启动说明、关键验证及真实未验证项。涉及真实发信仅用用户指定测试收件人。</x:v>
      </x:c>
    </x:row>
    <x:row r="35" ht="52" customHeight="1">
      <x:c r="A35" s="5" t="n">
        <x:v>4</x:v>
      </x:c>
      <x:c r="B35" s="5" t="str">
        <x:v>prompt-04-campaigns-polish.md</x:v>
      </x:c>
      <x:c r="C35" s="5" t="n">
        <x:v>3</x:v>
      </x:c>
      <x:c r="D35" s="18" t="str">
        <x:v>在前三期代码上开发第四期：批量活动、模板/Snippet 管理、基础统计、设置完善与 Academic 契约。当前仍不开发自动邮件序列、团队协作、计费或 Outlook 真实接入。</x:v>
      </x:c>
    </x:row>
    <x:row r="36" ht="52" customHeight="1">
      <x:c r="A36" s="9" t="n">
        <x:v>4</x:v>
      </x:c>
      <x:c r="B36" s="9" t="str">
        <x:v>prompt-04-campaigns-polish.md</x:v>
      </x:c>
      <x:c r="C36" s="9" t="n">
        <x:v>4</x:v>
      </x:c>
      <x:c r="D36" s="19" t="str">
        <x:v>Campaign 定义：一批用户明确批准的独立邮件；没有首封后自动产生第二封的能力。保存 CampaignRecipient 的联系人、画像版本、内容快照、邮箱、时间和结果。</x:v>
      </x:c>
    </x:row>
    <x:row r="37" ht="52" customHeight="1">
      <x:c r="A37" s="5" t="n">
        <x:v>4</x:v>
      </x:c>
      <x:c r="B37" s="5" t="str">
        <x:v>prompt-04-campaigns-polish.md</x:v>
      </x:c>
      <x:c r="C37" s="5" t="n">
        <x:v>5</x:v>
      </x:c>
      <x:c r="D37" s="18" t="str">
        <x:v>用户选择名单后逐人生成并预览邮件，统一显示缺失变量、重复联系人、无邮箱、屏蔽、附件、限额和时间问题。允许明确排除异常人，不能静默跳过。用户批准后逐人分别发送，不使用群体 To/CC。复用二期调度、幂等和三期回复保护。</x:v>
      </x:c>
    </x:row>
    <x:row r="38" ht="52" customHeight="1">
      <x:c r="A38" s="9" t="n">
        <x:v>4</x:v>
      </x:c>
      <x:c r="B38" s="9" t="str">
        <x:v>prompt-04-campaigns-polish.md</x:v>
      </x:c>
      <x:c r="C38" s="9" t="n">
        <x:v>6</x:v>
      </x:c>
      <x:c r="D38" s="19" t="str">
        <x:v>支持活动暂停/恢复/终止、单人退出、部分失败和进度。恢复重新计算合法窗口，不瞬间补发逾期任务。重试 unknown 先核对，禁止无脑重发。内容批准后模板更新不影响既有任务。</x:v>
      </x:c>
    </x:row>
    <x:row r="39" ht="52" customHeight="1">
      <x:c r="A39" s="5" t="n">
        <x:v>4</x:v>
      </x:c>
      <x:c r="B39" s="5" t="str">
        <x:v>prompt-04-campaigns-polish.md</x:v>
      </x:c>
      <x:c r="C39" s="5" t="n">
        <x:v>7</x:v>
      </x:c>
      <x:c r="D39" s="18" t="str">
        <x:v>Templates/Snippets：Finance 分类、创建/编辑/版本/归档；Academic 仅示例分类。批量 AI 使用与一期一致的事实和人工采纳规则，不在后台临时编造个性化内容。</x:v>
      </x:c>
    </x:row>
    <x:row r="40" ht="52" customHeight="1">
      <x:c r="A40" s="9" t="n">
        <x:v>4</x:v>
      </x:c>
      <x:c r="B40" s="9" t="str">
        <x:v>prompt-04-campaigns-polish.md</x:v>
      </x:c>
      <x:c r="C40" s="9" t="n">
        <x:v>8</x:v>
      </x:c>
      <x:c r="D40" s="19" t="str">
        <x:v>Analytics：正式发送邮件数和去重人数、人工回复人数、已检测退信、退订、活动进度和手动任务。明确事件、时间窗、分母及去重口径。测试和Mock独立，不造送达/打开/点击率。完善配置、数据导出/删除、错误和中英文文案。</x:v>
      </x:c>
    </x:row>
    <x:row r="41" ht="69" customHeight="1">
      <x:c r="A41" s="5" t="n">
        <x:v>4</x:v>
      </x:c>
      <x:c r="B41" s="5" t="str">
        <x:v>prompt-04-campaigns-polish.md</x:v>
      </x:c>
      <x:c r="C41" s="5" t="n">
        <x:v>9</x:v>
      </x:c>
      <x:c r="D41" s="18" t="str">
        <x:v>Academic：保持 Coming Soon；设计学术画像及 Mentor 扩展、候选列表与共享模块关联。实现 MentorDataProvider/MentorMatchingProvider 契约测试，预留 JSONL/SQLite/Postgres/External 注册骨架。未实现返回明确 Unavailable，不伪造导师或空成功结果。</x:v>
      </x:c>
    </x:row>
    <x:row r="42" ht="52" customHeight="1">
      <x:c r="A42" s="9" t="n">
        <x:v>4</x:v>
      </x:c>
      <x:c r="B42" s="9" t="str">
        <x:v>prompt-04-campaigns-polish.md</x:v>
      </x:c>
      <x:c r="C42" s="9" t="n">
        <x:v>10</x:v>
      </x:c>
      <x:c r="D42" s="19" t="str">
        <x:v>验收：逐人预览与发出内容一致；重复启动不重复发；暂停/退出/回复/退订生效；统计可从事件核对。完成四期回归、运行文档、真实验证记录和公开上线外部事项清单。不要把完成设计文档或演示当作产品已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bdd415a02c0f4a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80" hidden="0" customWidth="1"/>
    <x:col min="4" max="4" width="63" hidden="0" customWidth="1"/>
  </x:cols>
  <x:sheetData>
    <x:row r="1" ht="30" customHeight="1">
      <x:c r="A1" s="2" t="str">
        <x:v>来源与使用边界</x:v>
      </x:c>
      <x:c r="B1" s="1"/>
      <x:c r="C1" s="1"/>
      <x:c r="D1" s="1"/>
    </x:row>
    <x:row r="2" ht="28" customHeight="1">
      <x:c r="A2" s="3" t="str">
        <x:v>官方资料核对日期 2026-09-06；产品范围来自当前对话，设计默认值可调整。</x:v>
      </x:c>
      <x:c r="B2" s="1"/>
      <x:c r="C2" s="1"/>
      <x:c r="D2" s="1"/>
    </x:row>
    <x:row r="3">
      <x:c r="A3" s="1"/>
      <x:c r="B3" s="1"/>
      <x:c r="C3" s="1"/>
      <x:c r="D3" s="1"/>
    </x:row>
    <x:row r="4" ht="32" customHeight="1">
      <x:c r="A4" s="8" t="str">
        <x:v>ID</x:v>
      </x:c>
      <x:c r="B4" s="8" t="str">
        <x:v>来源</x:v>
      </x:c>
      <x:c r="C4" s="8" t="str">
        <x:v>地址或位置</x:v>
      </x:c>
      <x:c r="D4" s="8" t="str">
        <x:v>用途</x:v>
      </x:c>
    </x:row>
    <x:row r="5" ht="64" customHeight="1">
      <x:c r="A5" s="5" t="str">
        <x:v>S01</x:v>
      </x:c>
      <x:c r="B5" s="5" t="str">
        <x:v>用户确认范围</x:v>
      </x:c>
      <x:c r="C5" s="5" t="str">
        <x:v>本对话 2026-09-06</x:v>
      </x:c>
      <x:c r="D5" s="5" t="str">
        <x:v>个人多Gmail、英文默认、手动跟进、四期无自动序列</x:v>
      </x:c>
    </x:row>
    <x:row r="6" ht="64" customHeight="1">
      <x:c r="A6" s="9" t="str">
        <x:v>S02</x:v>
      </x:c>
      <x:c r="B6" s="9" t="str">
        <x:v>Apollo 与 LinkedIn 公开搜索</x:v>
      </x:c>
      <x:c r="C6" s="9" t="str">
        <x:v>https://docs.apollo.io/reference/people-api-search
https://serpapi.com/search-api</x:v>
      </x:c>
      <x:c r="D6" s="9" t="str">
        <x:v>Apollo 人员搜索与邮箱补充分离；SerpAPI 经 Google 检索 LinkedIn 公开页，覆盖取决于索引。双源协同待实现验证</x:v>
      </x:c>
    </x:row>
    <x:row r="7" ht="64" customHeight="1">
      <x:c r="A7" s="5" t="str">
        <x:v>S03</x:v>
      </x:c>
      <x:c r="B7" s="5" t="str">
        <x:v>Gmail OAuth 权限</x:v>
      </x:c>
      <x:c r="C7" s="5" t="str">
        <x:v>https://developers.google.com/workspace/gmail/api/auth/scopes</x:v>
      </x:c>
      <x:c r="D7" s="5" t="str">
        <x:v>按实际功能申请；公开验证独立于本地开发</x:v>
      </x:c>
    </x:row>
    <x:row r="8" ht="64" customHeight="1">
      <x:c r="A8" s="9" t="str">
        <x:v>S04</x:v>
      </x:c>
      <x:c r="B8" s="9" t="str">
        <x:v>Gmail 同步</x:v>
      </x:c>
      <x:c r="C8" s="9" t="str">
        <x:v>https://developers.google.com/workspace/gmail/api/guides/sync</x:v>
      </x:c>
      <x:c r="D8" s="9" t="str">
        <x:v>初次和增量同步；游标失效需要恢复</x:v>
      </x:c>
    </x:row>
    <x:row r="9" ht="64" customHeight="1">
      <x:c r="A9" s="5" t="str">
        <x:v>S05</x:v>
      </x:c>
      <x:c r="B9" s="5" t="str">
        <x:v>Gmail 会话</x:v>
      </x:c>
      <x:c r="C9" s="5" t="str">
        <x:v>https://developers.google.com/workspace/gmail/api/guides/threads</x:v>
      </x:c>
      <x:c r="D9" s="5" t="str">
        <x:v>回复保留threadId和消息头关系</x:v>
      </x:c>
    </x:row>
    <x:row r="10" ht="64" customHeight="1">
      <x:c r="A10" s="9" t="str">
        <x:v>S06</x:v>
      </x:c>
      <x:c r="B10" s="9" t="str">
        <x:v>Tiptap Mention 扩展</x:v>
      </x:c>
      <x:c r="C10" s="9" t="str">
        <x:v>https://tiptap.dev/docs/editor/extensions/nodes/mention</x:v>
      </x:c>
      <x:c r="D10" s="9" t="str">
        <x:v>参考节点交互机制；变量节点需自定义设计</x:v>
      </x:c>
    </x:row>
    <x:row r="11" ht="64" customHeight="1">
      <x:c r="A11" s="5" t="str">
        <x:v>D01</x:v>
      </x:c>
      <x:c r="B11" s="5" t="str">
        <x:v>状态说明</x:v>
      </x:c>
      <x:c r="C11" s="5" t="str">
        <x:v>功能清单 I 列</x:v>
      </x:c>
      <x:c r="D11" s="5" t="str">
        <x:v>仅表示产品开发实施；当前均未开始</x:v>
      </x:c>
    </x:row>
    <x:row r="12" ht="64" customHeight="1">
      <x:c r="A12" s="9" t="str">
        <x:v>D02</x:v>
      </x:c>
      <x:c r="B12" s="9" t="str">
        <x:v>验证说明</x:v>
      </x:c>
      <x:c r="C12" s="9" t="str">
        <x:v>功能清单 J/K 列</x:v>
      </x:c>
      <x:c r="D12" s="9" t="str">
        <x:v>Mock与真实验证分开，真实需提供脱敏证据</x:v>
      </x:c>
    </x:row>
    <x:row r="13" ht="64" customHeight="1">
      <x:c r="A13" s="5" t="str">
        <x:v>D03</x:v>
      </x:c>
      <x:c r="B13" s="5" t="str">
        <x:v>设计默认值</x:v>
      </x:c>
      <x:c r="C13" s="5" t="str">
        <x:v>Word第14节</x:v>
      </x:c>
      <x:c r="D13" s="5" t="str">
        <x:v>10MB上传、一秒防抖、两分钟轮询不是服务商承诺</x:v>
      </x:c>
    </x:row>
    <x:row r="14" ht="64" customHeight="1">
      <x:c r="A14" s="9" t="str">
        <x:v>D04</x:v>
      </x:c>
      <x:c r="B14" s="9" t="str">
        <x:v>HTML演示</x:v>
      </x:c>
      <x:c r="C14" s="9" t="str">
        <x:v>connact-ai-workflow-demo.html</x:v>
      </x:c>
      <x:c r="D14" s="9" t="str">
        <x:v>全部示例为虚构；无网络、无真实上传解析或发送</x:v>
      </x:c>
    </x:row>
    <x:row r="15" ht="64" customHeight="1">
      <x:c r="A15" s="5" t="str">
        <x:v>D05</x:v>
      </x:c>
      <x:c r="B15" s="5" t="str">
        <x:v>统计口径</x:v>
      </x:c>
      <x:c r="C15" s="5" t="str">
        <x:v>Word第13节</x:v>
      </x:c>
      <x:c r="D15" s="5" t="str">
        <x:v>回复率使用同一触达cohort并标观察截止时间</x:v>
      </x:c>
    </x:row>
  </x:sheetData>
  <x:pageMargins left="0.7" right="0.7" top="0.75" bottom="0.75" header="0.3" footer="0.3"/>
  <x:tableParts count="1">
    <x:tablePart xmlns:r="http://schemas.openxmlformats.org/officeDocument/2006/relationships" r:id="Rc0ff0e54d6de4504"/>
  </x:tableParts>
</x:worksheet>
</file>